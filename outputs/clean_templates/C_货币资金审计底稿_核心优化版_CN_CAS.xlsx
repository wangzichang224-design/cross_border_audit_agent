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货币资金主表" sheetId="2" state="visible" r:id="rId2"/>
    <sheet xmlns:r="http://schemas.openxmlformats.org/officeDocument/2006/relationships" name="货币资金明细" sheetId="3" state="visible" r:id="rId3"/>
    <sheet xmlns:r="http://schemas.openxmlformats.org/officeDocument/2006/relationships" name="银行余额调节" sheetId="4" state="visible" r:id="rId4"/>
    <sheet xmlns:r="http://schemas.openxmlformats.org/officeDocument/2006/relationships" name="截止性测试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6">
    <font>
      <name val="Carlito"/>
      <sz val="11"/>
    </font>
    <font>
      <name val="Arial"/>
      <family val="2"/>
      <b val="1"/>
      <color rgb="FFFF0000"/>
      <sz val="16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等线"/>
      <family val="2"/>
      <color theme="10"/>
      <sz val="12"/>
      <scheme val="minor"/>
    </font>
    <font>
      <name val="Arial"/>
      <family val="2"/>
      <b val="1"/>
      <color rgb="FF000000"/>
      <sz val="13"/>
    </font>
    <font>
      <name val="Arial"/>
      <family val="2"/>
      <color rgb="FF111827"/>
      <sz val="10"/>
    </font>
    <font>
      <name val="Arial"/>
      <family val="2"/>
      <b val="1"/>
      <color rgb="FF000000"/>
      <sz val="11"/>
    </font>
    <font>
      <name val="Carlito"/>
      <sz val="11"/>
    </font>
    <font>
      <name val="宋体"/>
      <charset val="134"/>
      <family val="3"/>
      <sz val="9"/>
    </font>
    <font>
      <name val="微软雅黑"/>
      <charset val="134"/>
      <family val="2"/>
      <b val="1"/>
      <color rgb="FF000000"/>
      <sz val="10"/>
    </font>
    <font>
      <name val="Microsoft YaHei"/>
      <b val="1"/>
      <color rgb="00FFFFFF"/>
      <sz val="16"/>
    </font>
    <font>
      <name val="Microsoft YaHei"/>
      <b val="1"/>
      <color rgb="001F2933"/>
      <sz val="11"/>
    </font>
    <font>
      <name val="Microsoft YaHei"/>
      <color rgb="001F2933"/>
      <sz val="10"/>
    </font>
    <font>
      <name val="Microsoft YaHe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00263238"/>
      </patternFill>
    </fill>
    <fill>
      <patternFill patternType="solid">
        <fgColor rgb="00E7ECE7"/>
      </patternFill>
    </fill>
    <fill>
      <patternFill patternType="solid">
        <fgColor rgb="004F6258"/>
      </patternFill>
    </fill>
    <fill>
      <patternFill patternType="solid">
        <fgColor rgb="00FFF4CC"/>
      </patternFill>
    </fill>
    <fill>
      <patternFill patternType="solid">
        <fgColor rgb="00EAF4F4"/>
      </patternFill>
    </fill>
    <fill>
      <patternFill patternType="solid">
        <fgColor rgb="00E9F5E8"/>
      </patternFill>
    </fill>
  </fills>
  <borders count="15">
    <border>
      <left/>
      <right/>
      <top/>
      <bottom/>
      <diagonal/>
    </border>
    <border>
      <left/>
      <right/>
      <top style="thin">
        <color rgb="FFB7C4C7"/>
      </top>
      <bottom/>
      <diagonal/>
    </border>
    <border>
      <left/>
      <right style="thin">
        <color rgb="FFB7C4C7"/>
      </right>
      <top style="thin">
        <color rgb="FFB7C4C7"/>
      </top>
      <bottom/>
      <diagonal/>
    </border>
    <border>
      <left style="thin">
        <color rgb="FFB7C4C7"/>
      </left>
      <right/>
      <top/>
      <bottom/>
      <diagonal/>
    </border>
    <border>
      <left/>
      <right style="thin">
        <color rgb="FFB7C4C7"/>
      </right>
      <top/>
      <bottom/>
      <diagonal/>
    </border>
    <border>
      <left/>
      <right/>
      <top/>
      <bottom style="thin">
        <color rgb="FFB7C4C7"/>
      </bottom>
      <diagonal/>
    </border>
    <border>
      <left/>
      <right style="thin">
        <color rgb="FFB7C4C7"/>
      </right>
      <top/>
      <bottom style="thin">
        <color rgb="FFB7C4C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</borders>
  <cellStyleXfs count="3">
    <xf numFmtId="0" fontId="9" fillId="0" borderId="7"/>
    <xf numFmtId="0" fontId="5" fillId="0" borderId="7"/>
    <xf numFmtId="0" fontId="9" fillId="0" borderId="7"/>
  </cellStyleXfs>
  <cellXfs count="45">
    <xf numFmtId="0" fontId="0" fillId="0" borderId="0" pivotButton="0" quotePrefix="0" xfId="0"/>
    <xf numFmtId="0" fontId="1" fillId="0" borderId="0" applyAlignment="1" pivotButton="0" quotePrefix="0" xfId="2">
      <alignment vertical="center"/>
    </xf>
    <xf numFmtId="0" fontId="3" fillId="4" borderId="8" applyAlignment="1" pivotButton="0" quotePrefix="0" xfId="2">
      <alignment vertical="center"/>
    </xf>
    <xf numFmtId="0" fontId="4" fillId="2" borderId="8" applyAlignment="1" pivotButton="0" quotePrefix="0" xfId="2">
      <alignment vertical="center" wrapText="1"/>
    </xf>
    <xf numFmtId="0" fontId="3" fillId="4" borderId="8" applyAlignment="1" pivotButton="0" quotePrefix="0" xfId="2">
      <alignment horizontal="center" vertical="center" wrapText="1"/>
    </xf>
    <xf numFmtId="0" fontId="4" fillId="5" borderId="8" applyAlignment="1" pivotButton="0" quotePrefix="0" xfId="2">
      <alignment horizontal="left" vertical="center" wrapText="1"/>
    </xf>
    <xf numFmtId="0" fontId="5" fillId="5" borderId="8" pivotButton="0" quotePrefix="0" xfId="1"/>
    <xf numFmtId="0" fontId="4" fillId="6" borderId="8" applyAlignment="1" pivotButton="0" quotePrefix="0" xfId="2">
      <alignment horizontal="left" vertical="center" wrapText="1"/>
    </xf>
    <xf numFmtId="0" fontId="5" fillId="6" borderId="8" pivotButton="0" quotePrefix="0" xfId="1"/>
    <xf numFmtId="0" fontId="7" fillId="0" borderId="0" applyAlignment="1" pivotButton="0" quotePrefix="0" xfId="2">
      <alignment vertical="center" wrapText="1"/>
    </xf>
    <xf numFmtId="0" fontId="7" fillId="0" borderId="8" applyAlignment="1" pivotButton="0" quotePrefix="0" xfId="2">
      <alignment vertical="center" wrapText="1"/>
    </xf>
    <xf numFmtId="0" fontId="7" fillId="3" borderId="8" applyAlignment="1" pivotButton="0" quotePrefix="0" xfId="2">
      <alignment vertical="center" wrapText="1"/>
    </xf>
    <xf numFmtId="164" fontId="7" fillId="3" borderId="8" applyAlignment="1" pivotButton="0" quotePrefix="0" xfId="2">
      <alignment vertical="center" wrapText="1"/>
    </xf>
    <xf numFmtId="4" fontId="7" fillId="3" borderId="8" applyAlignment="1" pivotButton="0" quotePrefix="0" xfId="2">
      <alignment vertical="center" wrapText="1"/>
    </xf>
    <xf numFmtId="4" fontId="7" fillId="2" borderId="8" applyAlignment="1" pivotButton="0" quotePrefix="0" xfId="2">
      <alignment vertical="center" wrapText="1"/>
    </xf>
    <xf numFmtId="10" fontId="7" fillId="2" borderId="8" applyAlignment="1" pivotButton="0" quotePrefix="0" xfId="2">
      <alignment vertical="center" wrapText="1"/>
    </xf>
    <xf numFmtId="0" fontId="7" fillId="2" borderId="8" applyAlignment="1" pivotButton="0" quotePrefix="0" xfId="2">
      <alignment vertical="center" wrapText="1"/>
    </xf>
    <xf numFmtId="0" fontId="7" fillId="0" borderId="3" applyAlignment="1" pivotButton="0" quotePrefix="0" xfId="2">
      <alignment vertical="center" wrapText="1"/>
    </xf>
    <xf numFmtId="4" fontId="7" fillId="0" borderId="0" applyAlignment="1" pivotButton="0" quotePrefix="0" xfId="2">
      <alignment vertical="center" wrapText="1"/>
    </xf>
    <xf numFmtId="10" fontId="7" fillId="0" borderId="0" applyAlignment="1" pivotButton="0" quotePrefix="0" xfId="2">
      <alignment vertical="center" wrapText="1"/>
    </xf>
    <xf numFmtId="0" fontId="7" fillId="0" borderId="4" applyAlignment="1" pivotButton="0" quotePrefix="0" xfId="2">
      <alignment vertical="center" wrapText="1"/>
    </xf>
    <xf numFmtId="0" fontId="7" fillId="0" borderId="5" applyAlignment="1" pivotButton="0" quotePrefix="0" xfId="2">
      <alignment vertical="center" wrapText="1"/>
    </xf>
    <xf numFmtId="0" fontId="7" fillId="0" borderId="6" applyAlignment="1" pivotButton="0" quotePrefix="0" xfId="2">
      <alignment vertical="center" wrapText="1"/>
    </xf>
    <xf numFmtId="0" fontId="7" fillId="0" borderId="1" applyAlignment="1" pivotButton="0" quotePrefix="0" xfId="2">
      <alignment vertical="center" wrapText="1"/>
    </xf>
    <xf numFmtId="0" fontId="7" fillId="0" borderId="2" applyAlignment="1" pivotButton="0" quotePrefix="0" xfId="2">
      <alignment vertical="center" wrapText="1"/>
    </xf>
    <xf numFmtId="164" fontId="4" fillId="2" borderId="8" applyAlignment="1" pivotButton="0" quotePrefix="0" xfId="2">
      <alignment vertical="center" wrapText="1"/>
    </xf>
    <xf numFmtId="0" fontId="4" fillId="6" borderId="8" applyAlignment="1" pivotButton="0" quotePrefix="0" xfId="2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0" borderId="7" applyAlignment="1" pivotButton="0" quotePrefix="0" xfId="2">
      <alignment vertical="center"/>
    </xf>
    <xf numFmtId="0" fontId="0" fillId="0" borderId="0" pivotButton="0" quotePrefix="0" xfId="0"/>
    <xf numFmtId="0" fontId="3" fillId="4" borderId="8" applyAlignment="1" pivotButton="0" quotePrefix="0" xfId="2">
      <alignment horizontal="left" vertical="center"/>
    </xf>
    <xf numFmtId="0" fontId="8" fillId="4" borderId="8" applyAlignment="1" pivotButton="0" quotePrefix="0" xfId="2">
      <alignment horizontal="left" vertical="center" wrapText="1"/>
    </xf>
    <xf numFmtId="0" fontId="6" fillId="0" borderId="9" applyAlignment="1" pivotButton="0" quotePrefix="0" xfId="2">
      <alignment vertical="center" wrapText="1"/>
    </xf>
    <xf numFmtId="0" fontId="0" fillId="0" borderId="9" pivotButton="0" quotePrefix="0" xfId="0"/>
    <xf numFmtId="0" fontId="3" fillId="4" borderId="8" applyAlignment="1" pivotButton="0" quotePrefix="0" xfId="2">
      <alignment horizontal="left" vertical="center" wrapText="1"/>
    </xf>
    <xf numFmtId="0" fontId="11" fillId="4" borderId="8" applyAlignment="1" pivotButton="0" quotePrefix="0" xfId="2">
      <alignment vertical="center"/>
    </xf>
    <xf numFmtId="0" fontId="12" fillId="7" borderId="14" applyAlignment="1" pivotButton="0" quotePrefix="0" xfId="0">
      <alignment vertical="center" wrapText="1"/>
    </xf>
    <xf numFmtId="0" fontId="12" fillId="0" borderId="14" applyAlignment="1" pivotButton="0" quotePrefix="0" xfId="0">
      <alignment vertical="center" wrapText="1"/>
    </xf>
    <xf numFmtId="0" fontId="14" fillId="0" borderId="14" applyAlignment="1" pivotButton="0" quotePrefix="0" xfId="0">
      <alignment vertical="center" wrapText="1"/>
    </xf>
    <xf numFmtId="0" fontId="14" fillId="11" borderId="14" applyAlignment="1" pivotButton="0" quotePrefix="0" xfId="0">
      <alignment vertical="center" wrapText="1"/>
    </xf>
    <xf numFmtId="0" fontId="14" fillId="8" borderId="14" applyAlignment="1" pivotButton="0" quotePrefix="0" xfId="0">
      <alignment vertical="center" wrapText="1"/>
    </xf>
    <xf numFmtId="0" fontId="15" fillId="9" borderId="14" applyAlignment="1" pivotButton="0" quotePrefix="0" xfId="0">
      <alignment horizontal="center" vertical="center" wrapText="1"/>
    </xf>
    <xf numFmtId="0" fontId="14" fillId="12" borderId="14" applyAlignment="1" pivotButton="0" quotePrefix="0" xfId="0">
      <alignment vertical="center" wrapText="1"/>
    </xf>
    <xf numFmtId="0" fontId="14" fillId="10" borderId="14" applyAlignment="1" pivotButton="0" quotePrefix="0" xfId="0">
      <alignment vertical="center" wrapText="1"/>
    </xf>
  </cellXfs>
  <cellStyles count="3">
    <cellStyle name="常规" xfId="0" builtinId="0"/>
    <cellStyle name="超链接" xfId="1" builtinId="8"/>
    <cellStyle name="Normal" xfId="2"/>
  </cellStyles>
  <dxfs count="1">
    <dxf>
      <fill>
        <patternFill patternType="solid">
          <fgColor rgb="00FCE7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258"/>
    <outlinePr summaryBelow="1" summaryRight="1"/>
    <pageSetUpPr fitToPage="1"/>
  </sheetPr>
  <dimension ref="A1:J22"/>
  <sheetViews>
    <sheetView showGridLines="0" tabSelected="1" zoomScale="70" workbookViewId="0">
      <pane ySplit="9" topLeftCell="A10" activePane="bottomLeft" state="frozen"/>
      <selection pane="bottomLeft" activeCell="B3" sqref="B3"/>
    </sheetView>
  </sheetViews>
  <sheetFormatPr baseColWidth="8" defaultRowHeight="13.8"/>
  <cols>
    <col width="12" customWidth="1" style="30" min="1" max="1"/>
    <col width="18" customWidth="1" style="30" min="2" max="2"/>
    <col width="12" customWidth="1" style="30" min="3" max="3"/>
    <col width="46" customWidth="1" style="30" min="4" max="4"/>
    <col width="12" customWidth="1" style="30" min="5" max="5"/>
    <col width="12" customWidth="1" style="30" min="6" max="6"/>
    <col width="12" customWidth="1" style="30" min="7" max="8"/>
    <col width="18" customWidth="1" style="30" min="8" max="8"/>
    <col width="18" customWidth="1" style="30" min="9" max="9"/>
    <col width="12" customWidth="1" style="30" min="10" max="10"/>
  </cols>
  <sheetData>
    <row r="1" ht="22" customHeight="1" s="30">
      <c r="A1" s="37" t="inlineStr">
        <is>
          <t>货币资金审计底稿 - 核心优化版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</row>
    <row r="2" ht="22" customHeight="1" s="30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</row>
    <row r="3" ht="22" customHeight="1" s="30">
      <c r="A3" s="39" t="inlineStr">
        <is>
          <t>客户名称</t>
        </is>
      </c>
      <c r="B3" s="40">
        <f>IF(货币资金主表!B3="","",货币资金主表!B3)</f>
        <v/>
      </c>
      <c r="C3" s="39" t="n"/>
      <c r="D3" s="39" t="n"/>
      <c r="E3" s="39" t="n"/>
      <c r="F3" s="39" t="n"/>
      <c r="G3" s="39" t="n"/>
      <c r="H3" s="39" t="n"/>
      <c r="I3" s="39" t="n"/>
      <c r="J3" s="39" t="n"/>
    </row>
    <row r="4" ht="22" customHeight="1" s="30">
      <c r="A4" s="39" t="inlineStr">
        <is>
          <t>期末日</t>
        </is>
      </c>
      <c r="B4" s="40">
        <f>IF(货币资金主表!B4="","",货币资金主表!B4)</f>
        <v/>
      </c>
      <c r="C4" s="39" t="n"/>
      <c r="D4" s="39" t="n"/>
      <c r="E4" s="39" t="n"/>
      <c r="F4" s="39" t="n"/>
      <c r="G4" s="39" t="n"/>
      <c r="H4" s="39" t="n"/>
      <c r="I4" s="39" t="n"/>
      <c r="J4" s="39" t="n"/>
    </row>
    <row r="5" ht="22" customHeight="1" s="30">
      <c r="A5" s="39" t="inlineStr">
        <is>
          <t>可容忍误差</t>
        </is>
      </c>
      <c r="B5" s="40">
        <f>IF(货币资金主表!B6="","",货币资金主表!B6)</f>
        <v/>
      </c>
      <c r="C5" s="39" t="n"/>
      <c r="D5" s="39" t="n"/>
      <c r="E5" s="39" t="n"/>
      <c r="F5" s="39" t="n"/>
      <c r="G5" s="39" t="n"/>
      <c r="H5" s="39" t="n"/>
      <c r="I5" s="39" t="n"/>
      <c r="J5" s="39" t="n"/>
    </row>
    <row r="6" ht="22" customHeight="1" s="30">
      <c r="A6" s="39" t="inlineStr">
        <is>
          <t>名义金额</t>
        </is>
      </c>
      <c r="B6" s="40">
        <f>IF(货币资金主表!B7="","",货币资金主表!B7)</f>
        <v/>
      </c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22" customHeight="1" s="30">
      <c r="A7" s="39" t="inlineStr">
        <is>
          <t>记账本位币</t>
        </is>
      </c>
      <c r="B7" s="40">
        <f>IF(货币资金主表!B10="","",货币资金主表!B10)</f>
        <v/>
      </c>
      <c r="C7" s="39" t="n"/>
      <c r="D7" s="39" t="n"/>
      <c r="E7" s="39" t="n"/>
      <c r="F7" s="39" t="n"/>
      <c r="G7" s="39" t="n"/>
      <c r="H7" s="39" t="n"/>
      <c r="I7" s="39" t="n"/>
      <c r="J7" s="39" t="n"/>
    </row>
    <row r="8" ht="22" customHeight="1" s="30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</row>
    <row r="9" ht="22" customHeight="1" s="30">
      <c r="A9" s="41" t="inlineStr">
        <is>
          <t>程序索引</t>
        </is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</row>
    <row r="10" ht="22" customHeight="1" s="30">
      <c r="A10" s="42" t="inlineStr">
        <is>
          <t>编号</t>
        </is>
      </c>
      <c r="B10" s="42" t="inlineStr">
        <is>
          <t>名称</t>
        </is>
      </c>
      <c r="C10" s="42" t="inlineStr">
        <is>
          <t>主要认定</t>
        </is>
      </c>
      <c r="D10" s="42" t="inlineStr">
        <is>
          <t>工作目标</t>
        </is>
      </c>
      <c r="E10" s="42" t="inlineStr">
        <is>
          <t>执行状态</t>
        </is>
      </c>
      <c r="F10" s="42" t="inlineStr">
        <is>
          <t>编制人</t>
        </is>
      </c>
      <c r="G10" s="42" t="inlineStr">
        <is>
          <t>复核人</t>
        </is>
      </c>
      <c r="H10" s="42" t="inlineStr">
        <is>
          <t>链接/索引</t>
        </is>
      </c>
      <c r="I10" s="42" t="inlineStr">
        <is>
          <t>备注</t>
        </is>
      </c>
      <c r="J10" s="42" t="inlineStr">
        <is>
          <t>核对</t>
        </is>
      </c>
    </row>
    <row r="11" ht="22" customHeight="1" s="30">
      <c r="A11" s="39" t="inlineStr">
        <is>
          <t>1</t>
        </is>
      </c>
      <c r="B11" s="39" t="inlineStr">
        <is>
          <t>货币资金主表</t>
        </is>
      </c>
      <c r="C11" s="39" t="inlineStr">
        <is>
          <t>E / V / C</t>
        </is>
      </c>
      <c r="D11" s="39" t="inlineStr">
        <is>
          <t>汇总风险评估、阈值、余额波动和披露核对。</t>
        </is>
      </c>
      <c r="E11" s="43" t="inlineStr">
        <is>
          <t>执行</t>
        </is>
      </c>
      <c r="F11" s="39" t="inlineStr"/>
      <c r="G11" s="39" t="inlineStr"/>
      <c r="H11" s="39" t="inlineStr">
        <is>
          <t>货币资金主表</t>
        </is>
      </c>
      <c r="I11" s="39" t="inlineStr"/>
      <c r="J11" s="43">
        <f>IF(货币资金主表!B36="通过","通过","待核对")</f>
        <v/>
      </c>
    </row>
    <row r="12" ht="22" customHeight="1" s="30">
      <c r="A12" s="39" t="inlineStr">
        <is>
          <t>2</t>
        </is>
      </c>
      <c r="B12" s="39" t="inlineStr">
        <is>
          <t>货币资金明细</t>
        </is>
      </c>
      <c r="C12" s="39" t="inlineStr">
        <is>
          <t>E / V / C</t>
        </is>
      </c>
      <c r="D12" s="39" t="inlineStr">
        <is>
          <t>列示全量货币资金账户，并与主表期末余额核对。</t>
        </is>
      </c>
      <c r="E12" s="43" t="inlineStr">
        <is>
          <t>执行</t>
        </is>
      </c>
      <c r="F12" s="39" t="inlineStr"/>
      <c r="G12" s="39" t="inlineStr"/>
      <c r="H12" s="39" t="inlineStr">
        <is>
          <t>货币资金明细</t>
        </is>
      </c>
      <c r="I12" s="39" t="inlineStr"/>
      <c r="J12" s="43">
        <f>IF(货币资金明细!B114="通过","通过","待核对")</f>
        <v/>
      </c>
    </row>
    <row r="13" ht="22" customHeight="1" s="30">
      <c r="A13" s="39" t="inlineStr">
        <is>
          <t>3</t>
        </is>
      </c>
      <c r="B13" s="39" t="inlineStr">
        <is>
          <t>银行余额调节</t>
        </is>
      </c>
      <c r="C13" s="39" t="inlineStr">
        <is>
          <t>E / C</t>
        </is>
      </c>
      <c r="D13" s="39" t="inlineStr">
        <is>
          <t>测试银行余额调节表及未达账项处理。</t>
        </is>
      </c>
      <c r="E13" s="43" t="inlineStr">
        <is>
          <t>执行</t>
        </is>
      </c>
      <c r="F13" s="39" t="inlineStr"/>
      <c r="G13" s="39" t="inlineStr"/>
      <c r="H13" s="39" t="inlineStr">
        <is>
          <t>银行余额调节</t>
        </is>
      </c>
      <c r="I13" s="39" t="inlineStr"/>
      <c r="J13" s="43">
        <f>IF(银行余额调节!E33="通过","通过","待核对")</f>
        <v/>
      </c>
    </row>
    <row r="14" ht="22" customHeight="1" s="30">
      <c r="A14" s="39" t="inlineStr">
        <is>
          <t>4</t>
        </is>
      </c>
      <c r="B14" s="39" t="inlineStr">
        <is>
          <t>截止性测试</t>
        </is>
      </c>
      <c r="C14" s="39" t="inlineStr">
        <is>
          <t>E / C</t>
        </is>
      </c>
      <c r="D14" s="39" t="inlineStr">
        <is>
          <t>测试期末前后银行间转账是否记录于恰当期间。</t>
        </is>
      </c>
      <c r="E14" s="43" t="inlineStr">
        <is>
          <t>执行</t>
        </is>
      </c>
      <c r="F14" s="39" t="inlineStr"/>
      <c r="G14" s="39" t="inlineStr"/>
      <c r="H14" s="39" t="inlineStr">
        <is>
          <t>截止性测试</t>
        </is>
      </c>
      <c r="I14" s="39" t="inlineStr"/>
      <c r="J14" s="43">
        <f>IF(COUNTIF(截止性测试!P13:P57,"&lt;&gt;0")=0,"通过","关注")</f>
        <v/>
      </c>
    </row>
    <row r="15" ht="22" customHeight="1" s="30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</row>
    <row r="16" ht="22" customHeight="1" s="30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</row>
    <row r="17" ht="22" customHeight="1" s="30">
      <c r="A17" s="41" t="inlineStr">
        <is>
          <t>编制与复核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</row>
    <row r="18" ht="22" customHeight="1" s="30">
      <c r="A18" s="39" t="inlineStr">
        <is>
          <t>编制人</t>
        </is>
      </c>
      <c r="B18" s="44" t="inlineStr"/>
      <c r="C18" s="39" t="inlineStr">
        <is>
          <t>编制日期</t>
        </is>
      </c>
      <c r="D18" s="44" t="inlineStr"/>
      <c r="E18" s="39" t="inlineStr">
        <is>
          <t>复核人</t>
        </is>
      </c>
      <c r="F18" s="44" t="inlineStr"/>
      <c r="G18" s="39" t="inlineStr">
        <is>
          <t>复核日期</t>
        </is>
      </c>
      <c r="H18" s="44" t="inlineStr"/>
      <c r="I18" s="39" t="inlineStr">
        <is>
          <t>总体备注</t>
        </is>
      </c>
      <c r="J18" s="44" t="inlineStr"/>
    </row>
    <row r="19" ht="22" customHeight="1" s="30">
      <c r="A19" s="39" t="inlineStr"/>
      <c r="B19" s="44" t="inlineStr"/>
      <c r="C19" s="39" t="inlineStr"/>
      <c r="D19" s="44" t="inlineStr"/>
      <c r="E19" s="39" t="inlineStr"/>
      <c r="F19" s="44" t="inlineStr"/>
      <c r="G19" s="39" t="inlineStr"/>
      <c r="H19" s="44" t="inlineStr"/>
      <c r="I19" s="39" t="inlineStr"/>
      <c r="J19" s="44" t="inlineStr"/>
    </row>
    <row r="20" ht="22" customHeight="1" s="30">
      <c r="A20" s="39" t="inlineStr">
        <is>
          <t>说明</t>
        </is>
      </c>
      <c r="B20" s="39" t="inlineStr">
        <is>
          <t>黄色区域为输入区；浅蓝区域为公式区；绿色状态为核对通过。</t>
        </is>
      </c>
      <c r="C20" s="39" t="inlineStr"/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</row>
    <row r="21" ht="22" customHeight="1" s="30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</row>
    <row r="22" ht="22" customHeight="1" s="30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</row>
    <row r="23" ht="18" customHeight="1" s="30"/>
    <row r="24" ht="18" customHeight="1" s="30"/>
    <row r="25" ht="18" customHeight="1" s="30"/>
    <row r="26" ht="18" customHeight="1" s="30"/>
    <row r="27" ht="18" customHeight="1" s="30"/>
    <row r="28" ht="18" customHeight="1" s="30"/>
    <row r="29" ht="18" customHeight="1" s="30"/>
    <row r="30" ht="18" customHeight="1" s="30"/>
    <row r="31" ht="18" customHeight="1" s="30"/>
    <row r="32" ht="18" customHeight="1" s="30"/>
  </sheetData>
  <mergeCells count="3">
    <mergeCell ref="A1:J1"/>
    <mergeCell ref="A9:J9"/>
    <mergeCell ref="A17:J17"/>
  </mergeCells>
  <conditionalFormatting sqref="E11">
    <cfRule type="cellIs" priority="1" operator="equal" dxfId="0">
      <formula>"待核对"</formula>
    </cfRule>
  </conditionalFormatting>
  <conditionalFormatting sqref="E12">
    <cfRule type="cellIs" priority="2" operator="equal" dxfId="0">
      <formula>"待核对"</formula>
    </cfRule>
  </conditionalFormatting>
  <conditionalFormatting sqref="E13">
    <cfRule type="cellIs" priority="3" operator="equal" dxfId="0">
      <formula>"待核对"</formula>
    </cfRule>
  </conditionalFormatting>
  <conditionalFormatting sqref="E14">
    <cfRule type="cellIs" priority="4" operator="equal" dxfId="0">
      <formula>"待核对"</formula>
    </cfRule>
  </conditionalFormatting>
  <conditionalFormatting sqref="J11">
    <cfRule type="cellIs" priority="5" operator="equal" dxfId="0">
      <formula>"待核对"</formula>
    </cfRule>
  </conditionalFormatting>
  <conditionalFormatting sqref="J12">
    <cfRule type="cellIs" priority="6" operator="equal" dxfId="0">
      <formula>"待核对"</formula>
    </cfRule>
  </conditionalFormatting>
  <conditionalFormatting sqref="J13">
    <cfRule type="cellIs" priority="7" operator="equal" dxfId="0">
      <formula>"待核对"</formula>
    </cfRule>
  </conditionalFormatting>
  <conditionalFormatting sqref="J14">
    <cfRule type="cellIs" priority="8" operator="equal" dxfId="0">
      <formula>"待核对"</formula>
    </cfRule>
  </conditionalFormatting>
  <dataValidations count="1">
    <dataValidation sqref="D12:D15" showDropDown="0" showInputMessage="0" showErrorMessage="0" allowBlank="1" type="list">
      <formula1>"执行,不执行,不适用"</formula1>
    </dataValidation>
  </dataValidations>
  <pageMargins left="0.35" right="0.35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B7D6D"/>
    <outlinePr summaryBelow="1" summaryRight="1"/>
    <pageSetUpPr fitToPage="1"/>
  </sheetPr>
  <dimension ref="A1:N50"/>
  <sheetViews>
    <sheetView showGridLines="0" zoomScale="70" workbookViewId="0">
      <pane ySplit="27" topLeftCell="A28" activePane="bottomLeft" state="frozen"/>
      <selection pane="bottomLeft" activeCell="E17" sqref="E17"/>
    </sheetView>
  </sheetViews>
  <sheetFormatPr baseColWidth="8" defaultRowHeight="13.8"/>
  <cols>
    <col width="16" customWidth="1" style="30" min="1" max="1"/>
    <col width="14" customWidth="1" style="30" min="2" max="2"/>
    <col width="16" customWidth="1" style="30" min="3" max="3"/>
    <col width="18" customWidth="1" style="30" min="4" max="4"/>
    <col width="15" customWidth="1" style="30" min="5" max="5"/>
    <col width="13" customWidth="1" style="30" min="6" max="11"/>
    <col width="15" customWidth="1" style="30" min="7" max="7"/>
    <col width="13" customWidth="1" style="30" min="8" max="8"/>
    <col width="15" customWidth="1" style="30" min="9" max="9"/>
    <col width="15" customWidth="1" style="30" min="10" max="10"/>
    <col width="15" customWidth="1" style="30" min="11" max="11"/>
    <col width="12" customWidth="1" style="30" min="12" max="12"/>
    <col width="12" customWidth="1" style="30" min="13" max="13"/>
    <col width="28" customWidth="1" style="30" min="14" max="14"/>
  </cols>
  <sheetData>
    <row r="1" ht="22" customHeight="1" s="30">
      <c r="A1" s="37" t="inlineStr">
        <is>
          <t>货币资金主表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</row>
    <row r="2" ht="22" customHeight="1" s="30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</row>
    <row r="3" ht="22" customHeight="1" s="30">
      <c r="A3" s="39" t="inlineStr">
        <is>
          <t>客户名称</t>
        </is>
      </c>
      <c r="B3" s="44" t="inlineStr"/>
      <c r="C3" s="39" t="inlineStr"/>
      <c r="D3" s="39" t="inlineStr">
        <is>
          <t>工作目标</t>
        </is>
      </c>
      <c r="E3" s="39" t="inlineStr">
        <is>
          <t>记录货币资金余额、账户完整性、重大波动和后续程序结论</t>
        </is>
      </c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</row>
    <row r="4" ht="22" customHeight="1" s="30">
      <c r="A4" s="39" t="inlineStr">
        <is>
          <t>期末日</t>
        </is>
      </c>
      <c r="B4" s="44" t="inlineStr"/>
      <c r="C4" s="39" t="inlineStr"/>
      <c r="D4" s="39" t="inlineStr">
        <is>
          <t>填写说明</t>
        </is>
      </c>
      <c r="E4" s="39" t="inlineStr">
        <is>
          <t>黄色区域为输入区；浅蓝区域为公式或自动检查区</t>
        </is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</row>
    <row r="5" ht="22" customHeight="1" s="30">
      <c r="A5" s="39" t="inlineStr">
        <is>
          <t>分析日期</t>
        </is>
      </c>
      <c r="B5" s="44" t="inlineStr"/>
      <c r="C5" s="39" t="inlineStr"/>
      <c r="D5" s="39" t="inlineStr"/>
      <c r="E5" s="39" t="inlineStr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</row>
    <row r="6" ht="22" customHeight="1" s="30">
      <c r="A6" s="39" t="inlineStr">
        <is>
          <t>可容忍误差</t>
        </is>
      </c>
      <c r="B6" s="44" t="inlineStr"/>
      <c r="C6" s="39" t="inlineStr"/>
      <c r="D6" s="39" t="inlineStr"/>
      <c r="E6" s="39" t="inlineStr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</row>
    <row r="7" ht="22" customHeight="1" s="30">
      <c r="A7" s="39" t="inlineStr">
        <is>
          <t>名义金额</t>
        </is>
      </c>
      <c r="B7" s="44" t="inlineStr"/>
      <c r="C7" s="39" t="inlineStr"/>
      <c r="D7" s="39" t="inlineStr"/>
      <c r="E7" s="39" t="inlineStr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</row>
    <row r="8" ht="22" customHeight="1" s="30">
      <c r="A8" s="39" t="inlineStr">
        <is>
          <t>适用会计准则</t>
        </is>
      </c>
      <c r="B8" s="44" t="inlineStr">
        <is>
          <t>中国企业会计准则</t>
        </is>
      </c>
      <c r="C8" s="39" t="inlineStr"/>
      <c r="D8" s="39" t="inlineStr"/>
      <c r="E8" s="39" t="inlineStr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</row>
    <row r="9" ht="22" customHeight="1" s="30">
      <c r="A9" s="39" t="inlineStr">
        <is>
          <t>审计准则</t>
        </is>
      </c>
      <c r="B9" s="44" t="inlineStr">
        <is>
          <t>中国注册会计师审计准则</t>
        </is>
      </c>
      <c r="C9" s="39" t="inlineStr"/>
      <c r="D9" s="39" t="inlineStr"/>
      <c r="E9" s="39" t="inlineStr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</row>
    <row r="10" ht="22" customHeight="1" s="30">
      <c r="A10" s="39" t="inlineStr">
        <is>
          <t>记账本位币</t>
        </is>
      </c>
      <c r="B10" s="44" t="inlineStr">
        <is>
          <t>CNY</t>
        </is>
      </c>
      <c r="C10" s="39" t="inlineStr"/>
      <c r="D10" s="39" t="inlineStr"/>
      <c r="E10" s="39" t="inlineStr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</row>
    <row r="11" ht="22" customHeight="1" s="30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</row>
    <row r="12" ht="22" customHeight="1" s="30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</row>
    <row r="13" ht="22" customHeight="1" s="30">
      <c r="A13" s="41" t="inlineStr">
        <is>
          <t>认定风险与测试阈值</t>
        </is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</row>
    <row r="14" ht="22" customHeight="1" s="30">
      <c r="A14" s="42" t="inlineStr">
        <is>
          <t>认定</t>
        </is>
      </c>
      <c r="B14" s="42" t="inlineStr">
        <is>
          <t>CRA 风险等级</t>
        </is>
      </c>
      <c r="C14" s="42" t="inlineStr">
        <is>
          <t>阈值比例</t>
        </is>
      </c>
      <c r="D14" s="42" t="inlineStr">
        <is>
          <t>测试阈值</t>
        </is>
      </c>
      <c r="E14" s="42" t="inlineStr">
        <is>
          <t>说明</t>
        </is>
      </c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</row>
    <row r="15" ht="22" customHeight="1" s="30">
      <c r="A15" s="39" t="inlineStr">
        <is>
          <t>完整性</t>
        </is>
      </c>
      <c r="B15" s="44" t="inlineStr"/>
      <c r="C15" s="40">
        <f>IF(B15="不适用","",IF(B15="极低",1,IF(B15="低",0.75,IF(B15="中等",0.5,IF(B15="高",0.25,"")))))</f>
        <v/>
      </c>
      <c r="D15" s="40">
        <f>IF(C15="","",$B$6*C15)</f>
        <v/>
      </c>
      <c r="E15" s="39" t="inlineStr">
        <is>
          <t>C.02 / 截止测试取完整性与存在性阈值较小值</t>
        </is>
      </c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</row>
    <row r="16" ht="22" customHeight="1" s="30">
      <c r="A16" s="39" t="inlineStr">
        <is>
          <t>存在性</t>
        </is>
      </c>
      <c r="B16" s="44" t="inlineStr"/>
      <c r="C16" s="40">
        <f>IF(B16="不适用","",IF(B16="极低",1,IF(B16="低",0.75,IF(B16="中等",0.5,IF(B16="高",0.25,"")))))</f>
        <v/>
      </c>
      <c r="D16" s="40">
        <f>IF(C16="","",$B$6*C16)</f>
        <v/>
      </c>
      <c r="E16" s="39" t="inlineStr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</row>
    <row r="17" ht="22" customHeight="1" s="30">
      <c r="A17" s="39" t="inlineStr">
        <is>
          <t>准确性/计价</t>
        </is>
      </c>
      <c r="B17" s="44" t="inlineStr"/>
      <c r="C17" s="40">
        <f>IF(B17="不适用","",IF(B17="极低",1,IF(B17="低",0.75,IF(B17="中等",0.5,IF(B17="高",0.25,"")))))</f>
        <v/>
      </c>
      <c r="D17" s="40">
        <f>IF(C17="","",$B$6*C17)</f>
        <v/>
      </c>
      <c r="E17" s="39" t="inlineStr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</row>
    <row r="18" ht="22" customHeight="1" s="30">
      <c r="A18" s="39" t="inlineStr">
        <is>
          <t>权利和义务</t>
        </is>
      </c>
      <c r="B18" s="44" t="inlineStr"/>
      <c r="C18" s="40">
        <f>IF(B18="不适用","",IF(B18="极低",1,IF(B18="低",0.75,IF(B18="中等",0.5,IF(B18="高",0.25,"")))))</f>
        <v/>
      </c>
      <c r="D18" s="40">
        <f>IF(C18="","",$B$6*C18)</f>
        <v/>
      </c>
      <c r="E18" s="39" t="inlineStr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</row>
    <row r="19" ht="22" customHeight="1" s="30">
      <c r="A19" s="39" t="inlineStr">
        <is>
          <t>列报</t>
        </is>
      </c>
      <c r="B19" s="44" t="inlineStr"/>
      <c r="C19" s="40">
        <f>IF(B19="不适用","",IF(B19="极低",1,IF(B19="低",0.75,IF(B19="中等",0.5,IF(B19="高",0.25,"")))))</f>
        <v/>
      </c>
      <c r="D19" s="40">
        <f>IF(C19="","",$B$6*C19)</f>
        <v/>
      </c>
      <c r="E19" s="39" t="inlineStr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</row>
    <row r="20" ht="22" customHeight="1" s="3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</row>
    <row r="21" ht="22" customHeight="1" s="30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</row>
    <row r="22" ht="22" customHeight="1" s="30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</row>
    <row r="23" ht="22" customHeight="1" s="30">
      <c r="A23" s="39" t="inlineStr">
        <is>
          <t>波动比例阈值</t>
        </is>
      </c>
      <c r="B23" s="44" t="inlineStr"/>
      <c r="C23" s="39" t="inlineStr">
        <is>
          <t>余额波动同时参考名义金额与比例阈值</t>
        </is>
      </c>
      <c r="D23" s="39" t="inlineStr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</row>
    <row r="24" ht="22" customHeight="1" s="30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</row>
    <row r="25" ht="22" customHeight="1" s="30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</row>
    <row r="26" ht="22" customHeight="1" s="30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</row>
    <row r="27" ht="22" customHeight="1" s="30">
      <c r="A27" s="41" t="inlineStr">
        <is>
          <t>余额波动分析</t>
        </is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</row>
    <row r="28" ht="22" customHeight="1" s="30">
      <c r="A28" s="42" t="inlineStr">
        <is>
          <t>账套</t>
        </is>
      </c>
      <c r="B28" s="42" t="inlineStr">
        <is>
          <t>科目编码</t>
        </is>
      </c>
      <c r="C28" s="42" t="inlineStr">
        <is>
          <t>科目</t>
        </is>
      </c>
      <c r="D28" s="42" t="inlineStr">
        <is>
          <t>索引</t>
        </is>
      </c>
      <c r="E28" s="42" t="inlineStr">
        <is>
          <t>期末账面数</t>
        </is>
      </c>
      <c r="F28" s="42" t="inlineStr">
        <is>
          <t>账表调整</t>
        </is>
      </c>
      <c r="G28" s="42" t="inlineStr">
        <is>
          <t>期末未审数</t>
        </is>
      </c>
      <c r="H28" s="42" t="inlineStr">
        <is>
          <t>审计调整</t>
        </is>
      </c>
      <c r="I28" s="42" t="inlineStr">
        <is>
          <t>期末审定数</t>
        </is>
      </c>
      <c r="J28" s="42" t="inlineStr">
        <is>
          <t>上年审定数</t>
        </is>
      </c>
      <c r="K28" s="42" t="inlineStr">
        <is>
          <t>变动金额</t>
        </is>
      </c>
      <c r="L28" s="42" t="inlineStr">
        <is>
          <t>变动%</t>
        </is>
      </c>
      <c r="M28" s="42" t="inlineStr">
        <is>
          <t>超阈值</t>
        </is>
      </c>
      <c r="N28" s="42" t="inlineStr">
        <is>
          <t>说明</t>
        </is>
      </c>
    </row>
    <row r="29" ht="22" customHeight="1" s="30">
      <c r="A29" s="39" t="inlineStr"/>
      <c r="B29" s="39" t="inlineStr"/>
      <c r="C29" s="39" t="inlineStr">
        <is>
          <t>库存现金</t>
        </is>
      </c>
      <c r="D29" s="39" t="inlineStr">
        <is>
          <t>货币资金明细</t>
        </is>
      </c>
      <c r="E29" s="44" t="inlineStr"/>
      <c r="F29" s="44" t="inlineStr"/>
      <c r="G29" s="40">
        <f>IF(OR(E29&lt;&gt;"",F29&lt;&gt;""),SUM(E29:F29),"")</f>
        <v/>
      </c>
      <c r="H29" s="44" t="inlineStr"/>
      <c r="I29" s="40">
        <f>IF(OR(G29&lt;&gt;"",H29&lt;&gt;""),SUM(G29:H29),"")</f>
        <v/>
      </c>
      <c r="J29" s="44" t="inlineStr"/>
      <c r="K29" s="40">
        <f>IF(OR(I29&lt;&gt;"",J29&lt;&gt;""),I29-J29,"")</f>
        <v/>
      </c>
      <c r="L29" s="40">
        <f>IF(J29&lt;&gt;0,K29/J29,IF(I29&lt;&gt;0,1,0))</f>
        <v/>
      </c>
      <c r="M29" s="40">
        <f>IF(OR(K29="",$B$7="",$B$23=""),"",IF(OR(ABS(K29)&gt;=$B$7,ABS(L29)&gt;=$B$23),"是","否"))</f>
        <v/>
      </c>
      <c r="N29" s="44" t="inlineStr"/>
    </row>
    <row r="30" ht="22" customHeight="1" s="30">
      <c r="A30" s="39" t="inlineStr"/>
      <c r="B30" s="39" t="inlineStr"/>
      <c r="C30" s="39" t="inlineStr">
        <is>
          <t>银行存款</t>
        </is>
      </c>
      <c r="D30" s="39" t="inlineStr">
        <is>
          <t>货币资金明细</t>
        </is>
      </c>
      <c r="E30" s="44" t="inlineStr"/>
      <c r="F30" s="44" t="inlineStr"/>
      <c r="G30" s="40">
        <f>IF(OR(E30&lt;&gt;"",F30&lt;&gt;""),SUM(E30:F30),"")</f>
        <v/>
      </c>
      <c r="H30" s="44" t="inlineStr"/>
      <c r="I30" s="40">
        <f>IF(OR(G30&lt;&gt;"",H30&lt;&gt;""),SUM(G30:H30),"")</f>
        <v/>
      </c>
      <c r="J30" s="44" t="inlineStr"/>
      <c r="K30" s="40">
        <f>IF(OR(I30&lt;&gt;"",J30&lt;&gt;""),I30-J30,"")</f>
        <v/>
      </c>
      <c r="L30" s="40">
        <f>IF(J30&lt;&gt;0,K30/J30,IF(I30&lt;&gt;0,1,0))</f>
        <v/>
      </c>
      <c r="M30" s="40">
        <f>IF(OR(K30="",$B$7="",$B$23=""),"",IF(OR(ABS(K30)&gt;=$B$7,ABS(L30)&gt;=$B$23),"是","否"))</f>
        <v/>
      </c>
      <c r="N30" s="44" t="inlineStr"/>
    </row>
    <row r="31" ht="22" customHeight="1" s="30">
      <c r="A31" s="39" t="inlineStr"/>
      <c r="B31" s="39" t="inlineStr"/>
      <c r="C31" s="39" t="inlineStr">
        <is>
          <t>其他货币资金</t>
        </is>
      </c>
      <c r="D31" s="39" t="inlineStr">
        <is>
          <t>货币资金明细</t>
        </is>
      </c>
      <c r="E31" s="44" t="inlineStr"/>
      <c r="F31" s="44" t="inlineStr"/>
      <c r="G31" s="40">
        <f>IF(OR(E31&lt;&gt;"",F31&lt;&gt;""),SUM(E31:F31),"")</f>
        <v/>
      </c>
      <c r="H31" s="44" t="inlineStr"/>
      <c r="I31" s="40">
        <f>IF(OR(G31&lt;&gt;"",H31&lt;&gt;""),SUM(G31:H31),"")</f>
        <v/>
      </c>
      <c r="J31" s="44" t="inlineStr"/>
      <c r="K31" s="40">
        <f>IF(OR(I31&lt;&gt;"",J31&lt;&gt;""),I31-J31,"")</f>
        <v/>
      </c>
      <c r="L31" s="40">
        <f>IF(J31&lt;&gt;0,K31/J31,IF(I31&lt;&gt;0,1,0))</f>
        <v/>
      </c>
      <c r="M31" s="40">
        <f>IF(OR(K31="",$B$7="",$B$23=""),"",IF(OR(ABS(K31)&gt;=$B$7,ABS(L31)&gt;=$B$23),"是","否"))</f>
        <v/>
      </c>
      <c r="N31" s="44" t="inlineStr"/>
    </row>
    <row r="32" ht="22" customHeight="1" s="30">
      <c r="A32" s="39" t="inlineStr"/>
      <c r="B32" s="39" t="inlineStr"/>
      <c r="C32" s="39" t="inlineStr"/>
      <c r="D32" s="39" t="inlineStr"/>
      <c r="E32" s="39" t="inlineStr"/>
      <c r="F32" s="39" t="inlineStr"/>
      <c r="G32" s="39" t="inlineStr"/>
      <c r="H32" s="39" t="inlineStr"/>
      <c r="I32" s="39" t="inlineStr"/>
      <c r="J32" s="39" t="inlineStr"/>
      <c r="K32" s="40" t="inlineStr"/>
      <c r="L32" s="40" t="inlineStr"/>
      <c r="M32" s="40" t="inlineStr"/>
      <c r="N32" s="39" t="inlineStr"/>
    </row>
    <row r="33" ht="22" customHeight="1" s="30">
      <c r="A33" s="39" t="inlineStr">
        <is>
          <t>合计</t>
        </is>
      </c>
      <c r="B33" s="39" t="inlineStr"/>
      <c r="C33" s="39" t="inlineStr"/>
      <c r="D33" s="39" t="inlineStr"/>
      <c r="E33" s="40">
        <f>SUM(E29:E31)</f>
        <v/>
      </c>
      <c r="F33" s="40">
        <f>SUM(F29:F31)</f>
        <v/>
      </c>
      <c r="G33" s="40">
        <f>SUM(G29:G31)</f>
        <v/>
      </c>
      <c r="H33" s="40">
        <f>SUM(H29:H31)</f>
        <v/>
      </c>
      <c r="I33" s="40">
        <f>SUM(I29:I31)</f>
        <v/>
      </c>
      <c r="J33" s="40">
        <f>SUM(J29:J31)</f>
        <v/>
      </c>
      <c r="K33" s="40">
        <f>I33-J33</f>
        <v/>
      </c>
      <c r="L33" s="40">
        <f>IF(J33&lt;&gt;0,K33/J33,IF(I33&lt;&gt;0,1,0))</f>
        <v/>
      </c>
      <c r="M33" s="40">
        <f>IF(OR(K33="",$B$7="",$B$23=""),"",IF(OR(ABS(K33)&gt;=$B$7,ABS(L33)&gt;=$B$23),"是","否"))</f>
        <v/>
      </c>
      <c r="N33" s="39" t="inlineStr"/>
    </row>
    <row r="34" ht="22" customHeight="1" s="30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</row>
    <row r="35" ht="22" customHeight="1" s="30">
      <c r="A35" s="39" t="inlineStr">
        <is>
          <t>与货币资金明细期末本币金额差异</t>
        </is>
      </c>
      <c r="B35" s="40">
        <f>货币资金明细!H112-I33</f>
        <v/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</row>
    <row r="36" ht="22" customHeight="1" s="30">
      <c r="A36" s="39" t="inlineStr">
        <is>
          <t>核对状态</t>
        </is>
      </c>
      <c r="B36" s="43">
        <f>IF(ROUND(B35,2)=0,"通过","待核对")</f>
        <v/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</row>
    <row r="37" ht="22" customHeight="1" s="30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</row>
    <row r="38" ht="22" customHeight="1" s="30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</row>
    <row r="39" ht="22" customHeight="1" s="30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</row>
    <row r="40" ht="22" customHeight="1" s="3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</row>
    <row r="41" ht="22" customHeight="1" s="30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</row>
    <row r="42" ht="22" customHeight="1" s="30">
      <c r="A42" s="41" t="inlineStr">
        <is>
          <t>受限货币资金披露</t>
        </is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</row>
    <row r="43" ht="22" customHeight="1" s="30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</row>
    <row r="44" ht="22" customHeight="1" s="30">
      <c r="A44" s="42" t="inlineStr">
        <is>
          <t>项目</t>
        </is>
      </c>
      <c r="B44" s="42" t="inlineStr">
        <is>
          <t>期末审定数</t>
        </is>
      </c>
      <c r="C44" s="42" t="inlineStr">
        <is>
          <t>上年审定数</t>
        </is>
      </c>
      <c r="D44" s="42" t="inlineStr">
        <is>
          <t>差异</t>
        </is>
      </c>
      <c r="E44" s="42" t="inlineStr">
        <is>
          <t>核对状态</t>
        </is>
      </c>
      <c r="F44" s="42" t="inlineStr">
        <is>
          <t>说明</t>
        </is>
      </c>
      <c r="G44" s="39" t="n"/>
      <c r="H44" s="39" t="n"/>
      <c r="I44" s="39" t="n"/>
      <c r="J44" s="39" t="n"/>
      <c r="K44" s="39" t="n"/>
      <c r="L44" s="39" t="n"/>
      <c r="M44" s="39" t="n"/>
      <c r="N44" s="39" t="n"/>
    </row>
    <row r="45" ht="22" customHeight="1" s="30">
      <c r="A45" s="39" t="inlineStr">
        <is>
          <t>所有权或使用权受限货币资金</t>
        </is>
      </c>
      <c r="B45" s="44" t="inlineStr"/>
      <c r="C45" s="44" t="inlineStr"/>
      <c r="D45" s="40">
        <f>IF(OR(B45&lt;&gt;"",C45&lt;&gt;""),B45-C45,"")</f>
        <v/>
      </c>
      <c r="E45" s="43">
        <f>IF(ROUND(B45,2)=0,"无受限资金","关注披露")</f>
        <v/>
      </c>
      <c r="F45" s="44" t="inlineStr"/>
      <c r="G45" s="39" t="n"/>
      <c r="H45" s="39" t="n"/>
      <c r="I45" s="39" t="n"/>
      <c r="J45" s="39" t="n"/>
      <c r="K45" s="39" t="n"/>
      <c r="L45" s="39" t="n"/>
      <c r="M45" s="39" t="n"/>
      <c r="N45" s="39" t="n"/>
    </row>
    <row r="46" ht="22" customHeight="1" s="30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</row>
    <row r="47" ht="22" customHeight="1" s="30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</row>
    <row r="48" ht="22" customHeight="1" s="30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</row>
    <row r="49" ht="22" customHeight="1" s="30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</row>
    <row r="50" ht="22" customHeight="1" s="3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</row>
    <row r="51" ht="18" customHeight="1" s="30"/>
    <row r="52" ht="18" customHeight="1" s="30"/>
    <row r="53" ht="18" customHeight="1" s="30"/>
    <row r="54" ht="18" customHeight="1" s="30"/>
    <row r="55" ht="18" customHeight="1" s="30"/>
    <row r="56" ht="18" customHeight="1" s="30"/>
    <row r="57" ht="18" customHeight="1" s="30"/>
    <row r="58" ht="18" customHeight="1" s="30"/>
    <row r="59" ht="18" customHeight="1" s="30"/>
  </sheetData>
  <mergeCells count="4">
    <mergeCell ref="A27:N27"/>
    <mergeCell ref="A42:N42"/>
    <mergeCell ref="A13:N13"/>
    <mergeCell ref="A1:N1"/>
  </mergeCells>
  <conditionalFormatting sqref="B36">
    <cfRule type="cellIs" priority="1" operator="equal" dxfId="0">
      <formula>"待核对"</formula>
    </cfRule>
  </conditionalFormatting>
  <conditionalFormatting sqref="E45">
    <cfRule type="cellIs" priority="2" operator="equal" dxfId="0">
      <formula>"待核对"</formula>
    </cfRule>
  </conditionalFormatting>
  <dataValidations count="1">
    <dataValidation sqref="B15:B19" showDropDown="0" showInputMessage="0" showErrorMessage="0" allowBlank="1" type="list">
      <formula1>"极低,低,中等,高,不适用"</formula1>
    </dataValidation>
  </dataValidations>
  <pageMargins left="0.35" right="0.35" top="0.5" bottom="0.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A8F7B"/>
    <outlinePr summaryBelow="1" summaryRight="1"/>
    <pageSetUpPr fitToPage="1"/>
  </sheetPr>
  <dimension ref="A1:L114"/>
  <sheetViews>
    <sheetView showGridLines="0" zoomScale="70" workbookViewId="0">
      <pane ySplit="11" topLeftCell="A12" activePane="bottomLeft" state="frozen"/>
      <selection pane="bottomLeft" activeCell="A1" sqref="A1"/>
    </sheetView>
  </sheetViews>
  <sheetFormatPr baseColWidth="8" defaultRowHeight="13.8"/>
  <cols>
    <col width="8" customWidth="1" style="30" min="1" max="1"/>
    <col width="22" customWidth="1" style="30" min="2" max="3"/>
    <col width="16" customWidth="1" style="30" min="3" max="3"/>
    <col width="20" customWidth="1" style="30" min="4" max="4"/>
    <col width="22" customWidth="1" style="30" min="5" max="5"/>
    <col width="10" customWidth="1" style="30" min="6" max="6"/>
    <col width="16" customWidth="1" style="30" min="7" max="8"/>
    <col width="16" customWidth="1" style="30" min="8" max="8"/>
    <col width="22" customWidth="1" style="30" min="9" max="9"/>
    <col width="12" customWidth="1" style="30" min="10" max="10"/>
    <col width="18" customWidth="1" style="30" min="11" max="11"/>
    <col width="24" customWidth="1" style="30" min="12" max="12"/>
  </cols>
  <sheetData>
    <row r="1" ht="22" customHeight="1" s="30">
      <c r="A1" s="37" t="inlineStr">
        <is>
          <t>货币资金明细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</row>
    <row r="2" ht="22" customHeight="1" s="30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 ht="22" customHeight="1" s="30">
      <c r="A3" s="39" t="inlineStr">
        <is>
          <t>列示所有货币资金账户，核对至科目余额表</t>
        </is>
      </c>
      <c r="B3" s="39" t="inlineStr"/>
      <c r="C3" s="39" t="inlineStr"/>
      <c r="D3" s="39" t="inlineStr"/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</row>
    <row r="4" ht="22" customHeight="1" s="30">
      <c r="A4" s="39" t="inlineStr">
        <is>
          <t>资料来源：科目余额表 / 函证或银行回函 / 银行流水</t>
        </is>
      </c>
      <c r="B4" s="39" t="inlineStr"/>
      <c r="C4" s="39" t="inlineStr"/>
      <c r="D4" s="39" t="inlineStr"/>
      <c r="E4" s="39" t="inlineStr"/>
      <c r="F4" s="39" t="inlineStr"/>
      <c r="G4" s="39" t="inlineStr"/>
      <c r="H4" s="39" t="inlineStr"/>
      <c r="I4" s="39" t="inlineStr"/>
      <c r="J4" s="39" t="inlineStr"/>
      <c r="K4" s="39" t="inlineStr"/>
      <c r="L4" s="39" t="inlineStr"/>
    </row>
    <row r="5" ht="22" customHeight="1" s="30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</row>
    <row r="6" ht="22" customHeight="1" s="30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</row>
    <row r="7" ht="22" customHeight="1" s="30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</row>
    <row r="8" ht="22" customHeight="1" s="30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</row>
    <row r="9" ht="22" customHeight="1" s="30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</row>
    <row r="10" ht="22" customHeight="1" s="30">
      <c r="A10" s="42" t="inlineStr">
        <is>
          <t>序号</t>
        </is>
      </c>
      <c r="B10" s="42" t="inlineStr">
        <is>
          <t>公司</t>
        </is>
      </c>
      <c r="C10" s="42" t="inlineStr">
        <is>
          <t>科目</t>
        </is>
      </c>
      <c r="D10" s="42" t="inlineStr">
        <is>
          <t>银行</t>
        </is>
      </c>
      <c r="E10" s="42" t="inlineStr">
        <is>
          <t>账号</t>
        </is>
      </c>
      <c r="F10" s="42" t="inlineStr">
        <is>
          <t>币种</t>
        </is>
      </c>
      <c r="G10" s="42" t="inlineStr">
        <is>
          <t>期末金额(原币)</t>
        </is>
      </c>
      <c r="H10" s="42" t="inlineStr">
        <is>
          <t>期末金额(本币)</t>
        </is>
      </c>
      <c r="I10" s="42" t="inlineStr">
        <is>
          <t>用途</t>
        </is>
      </c>
      <c r="J10" s="42" t="inlineStr">
        <is>
          <t>是否函证</t>
        </is>
      </c>
      <c r="K10" s="42" t="inlineStr">
        <is>
          <t>替代程序</t>
        </is>
      </c>
      <c r="L10" s="42" t="inlineStr">
        <is>
          <t>备注</t>
        </is>
      </c>
    </row>
    <row r="11" ht="22" customHeight="1" s="30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</row>
    <row r="12" ht="22" customHeight="1" s="30">
      <c r="A12" s="40">
        <f>IF(COUNTA(B12:L12)=0,"",ROW()-11)</f>
        <v/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</row>
    <row r="13" ht="22" customHeight="1" s="30">
      <c r="A13" s="40">
        <f>IF(COUNTA(B13:L13)=0,"",ROW()-11)</f>
        <v/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</row>
    <row r="14" ht="22" customHeight="1" s="30">
      <c r="A14" s="40">
        <f>IF(COUNTA(B14:L14)=0,"",ROW()-11)</f>
        <v/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</row>
    <row r="15" ht="22" customHeight="1" s="30">
      <c r="A15" s="40">
        <f>IF(COUNTA(B15:L15)=0,"",ROW()-11)</f>
        <v/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</row>
    <row r="16" ht="22" customHeight="1" s="30">
      <c r="A16" s="40">
        <f>IF(COUNTA(B16:L16)=0,"",ROW()-11)</f>
        <v/>
      </c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</row>
    <row r="17" ht="22" customHeight="1" s="30">
      <c r="A17" s="40">
        <f>IF(COUNTA(B17:L17)=0,"",ROW()-11)</f>
        <v/>
      </c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</row>
    <row r="18" ht="22" customHeight="1" s="30">
      <c r="A18" s="40">
        <f>IF(COUNTA(B18:L18)=0,"",ROW()-11)</f>
        <v/>
      </c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</row>
    <row r="19" ht="22" customHeight="1" s="30">
      <c r="A19" s="40">
        <f>IF(COUNTA(B19:L19)=0,"",ROW()-11)</f>
        <v/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</row>
    <row r="20" ht="22" customHeight="1" s="30">
      <c r="A20" s="40">
        <f>IF(COUNTA(B20:L20)=0,"",ROW()-11)</f>
        <v/>
      </c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</row>
    <row r="21" ht="22" customHeight="1" s="30">
      <c r="A21" s="40">
        <f>IF(COUNTA(B21:L21)=0,"",ROW()-11)</f>
        <v/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</row>
    <row r="22" ht="22" customHeight="1" s="30">
      <c r="A22" s="40">
        <f>IF(COUNTA(B22:L22)=0,"",ROW()-11)</f>
        <v/>
      </c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</row>
    <row r="23" ht="22" customHeight="1" s="30">
      <c r="A23" s="40">
        <f>IF(COUNTA(B23:L23)=0,"",ROW()-11)</f>
        <v/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</row>
    <row r="24" ht="22" customHeight="1" s="30">
      <c r="A24" s="40">
        <f>IF(COUNTA(B24:L24)=0,"",ROW()-11)</f>
        <v/>
      </c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</row>
    <row r="25" ht="22" customHeight="1" s="30">
      <c r="A25" s="40">
        <f>IF(COUNTA(B25:L25)=0,"",ROW()-11)</f>
        <v/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</row>
    <row r="26" ht="22" customHeight="1" s="30">
      <c r="A26" s="40">
        <f>IF(COUNTA(B26:L26)=0,"",ROW()-11)</f>
        <v/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</row>
    <row r="27" ht="22" customHeight="1" s="30">
      <c r="A27" s="40">
        <f>IF(COUNTA(B27:L27)=0,"",ROW()-11)</f>
        <v/>
      </c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</row>
    <row r="28" ht="22" customHeight="1" s="30">
      <c r="A28" s="40">
        <f>IF(COUNTA(B28:L28)=0,"",ROW()-11)</f>
        <v/>
      </c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</row>
    <row r="29" ht="22" customHeight="1" s="30">
      <c r="A29" s="40">
        <f>IF(COUNTA(B29:L29)=0,"",ROW()-11)</f>
        <v/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</row>
    <row r="30" ht="22" customHeight="1" s="30">
      <c r="A30" s="40">
        <f>IF(COUNTA(B30:L30)=0,"",ROW()-11)</f>
        <v/>
      </c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</row>
    <row r="31" ht="22" customHeight="1" s="30">
      <c r="A31" s="40">
        <f>IF(COUNTA(B31:L31)=0,"",ROW()-11)</f>
        <v/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</row>
    <row r="32" ht="22" customHeight="1" s="30">
      <c r="A32" s="40">
        <f>IF(COUNTA(B32:L32)=0,"",ROW()-11)</f>
        <v/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</row>
    <row r="33" ht="22" customHeight="1" s="30">
      <c r="A33" s="40">
        <f>IF(COUNTA(B33:L33)=0,"",ROW()-11)</f>
        <v/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</row>
    <row r="34" ht="22" customHeight="1" s="30">
      <c r="A34" s="40">
        <f>IF(COUNTA(B34:L34)=0,"",ROW()-11)</f>
        <v/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</row>
    <row r="35" ht="22" customHeight="1" s="30">
      <c r="A35" s="40">
        <f>IF(COUNTA(B35:L35)=0,"",ROW()-11)</f>
        <v/>
      </c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</row>
    <row r="36" ht="22" customHeight="1" s="30">
      <c r="A36" s="40">
        <f>IF(COUNTA(B36:L36)=0,"",ROW()-11)</f>
        <v/>
      </c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</row>
    <row r="37" ht="22" customHeight="1" s="30">
      <c r="A37" s="40">
        <f>IF(COUNTA(B37:L37)=0,"",ROW()-11)</f>
        <v/>
      </c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</row>
    <row r="38" ht="22" customHeight="1" s="30">
      <c r="A38" s="40">
        <f>IF(COUNTA(B38:L38)=0,"",ROW()-11)</f>
        <v/>
      </c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</row>
    <row r="39" ht="22" customHeight="1" s="30">
      <c r="A39" s="40">
        <f>IF(COUNTA(B39:L39)=0,"",ROW()-11)</f>
        <v/>
      </c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</row>
    <row r="40" ht="22" customHeight="1" s="30">
      <c r="A40" s="40">
        <f>IF(COUNTA(B40:L40)=0,"",ROW()-11)</f>
        <v/>
      </c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</row>
    <row r="41" ht="22" customHeight="1" s="30">
      <c r="A41" s="40">
        <f>IF(COUNTA(B41:L41)=0,"",ROW()-11)</f>
        <v/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</row>
    <row r="42" ht="22" customHeight="1" s="30">
      <c r="A42" s="40">
        <f>IF(COUNTA(B42:L42)=0,"",ROW()-11)</f>
        <v/>
      </c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</row>
    <row r="43" ht="22" customHeight="1" s="30">
      <c r="A43" s="40">
        <f>IF(COUNTA(B43:L43)=0,"",ROW()-11)</f>
        <v/>
      </c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</row>
    <row r="44" ht="22" customHeight="1" s="30">
      <c r="A44" s="40">
        <f>IF(COUNTA(B44:L44)=0,"",ROW()-11)</f>
        <v/>
      </c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</row>
    <row r="45" ht="22" customHeight="1" s="30">
      <c r="A45" s="40">
        <f>IF(COUNTA(B45:L45)=0,"",ROW()-11)</f>
        <v/>
      </c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</row>
    <row r="46" ht="22" customHeight="1" s="30">
      <c r="A46" s="40">
        <f>IF(COUNTA(B46:L46)=0,"",ROW()-11)</f>
        <v/>
      </c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</row>
    <row r="47" ht="22" customHeight="1" s="30">
      <c r="A47" s="40">
        <f>IF(COUNTA(B47:L47)=0,"",ROW()-11)</f>
        <v/>
      </c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</row>
    <row r="48" ht="22" customHeight="1" s="30">
      <c r="A48" s="40">
        <f>IF(COUNTA(B48:L48)=0,"",ROW()-11)</f>
        <v/>
      </c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</row>
    <row r="49" ht="22" customHeight="1" s="30">
      <c r="A49" s="40">
        <f>IF(COUNTA(B49:L49)=0,"",ROW()-11)</f>
        <v/>
      </c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</row>
    <row r="50" ht="22" customHeight="1" s="30">
      <c r="A50" s="40">
        <f>IF(COUNTA(B50:L50)=0,"",ROW()-11)</f>
        <v/>
      </c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</row>
    <row r="51" ht="22" customHeight="1" s="30">
      <c r="A51" s="40">
        <f>IF(COUNTA(B51:L51)=0,"",ROW()-11)</f>
        <v/>
      </c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</row>
    <row r="52" ht="22" customHeight="1" s="30">
      <c r="A52" s="40">
        <f>IF(COUNTA(B52:L52)=0,"",ROW()-11)</f>
        <v/>
      </c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</row>
    <row r="53" ht="22" customHeight="1" s="30">
      <c r="A53" s="40">
        <f>IF(COUNTA(B53:L53)=0,"",ROW()-11)</f>
        <v/>
      </c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</row>
    <row r="54" ht="22" customHeight="1" s="30">
      <c r="A54" s="40">
        <f>IF(COUNTA(B54:L54)=0,"",ROW()-11)</f>
        <v/>
      </c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</row>
    <row r="55" ht="22" customHeight="1" s="30">
      <c r="A55" s="40">
        <f>IF(COUNTA(B55:L55)=0,"",ROW()-11)</f>
        <v/>
      </c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</row>
    <row r="56" ht="22" customHeight="1" s="30">
      <c r="A56" s="40">
        <f>IF(COUNTA(B56:L56)=0,"",ROW()-11)</f>
        <v/>
      </c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</row>
    <row r="57" ht="22" customHeight="1" s="30">
      <c r="A57" s="40">
        <f>IF(COUNTA(B57:L57)=0,"",ROW()-11)</f>
        <v/>
      </c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</row>
    <row r="58" ht="22" customHeight="1" s="30">
      <c r="A58" s="40">
        <f>IF(COUNTA(B58:L58)=0,"",ROW()-11)</f>
        <v/>
      </c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</row>
    <row r="59" ht="22" customHeight="1" s="30">
      <c r="A59" s="40">
        <f>IF(COUNTA(B59:L59)=0,"",ROW()-11)</f>
        <v/>
      </c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</row>
    <row r="60" ht="22" customHeight="1" s="30">
      <c r="A60" s="40">
        <f>IF(COUNTA(B60:L60)=0,"",ROW()-11)</f>
        <v/>
      </c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</row>
    <row r="61" ht="22" customHeight="1" s="30">
      <c r="A61" s="40">
        <f>IF(COUNTA(B61:L61)=0,"",ROW()-11)</f>
        <v/>
      </c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</row>
    <row r="62" ht="22" customHeight="1" s="30">
      <c r="A62" s="40">
        <f>IF(COUNTA(B62:L62)=0,"",ROW()-11)</f>
        <v/>
      </c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</row>
    <row r="63" ht="22" customHeight="1" s="30">
      <c r="A63" s="40">
        <f>IF(COUNTA(B63:L63)=0,"",ROW()-11)</f>
        <v/>
      </c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</row>
    <row r="64" ht="22" customHeight="1" s="30">
      <c r="A64" s="40">
        <f>IF(COUNTA(B64:L64)=0,"",ROW()-11)</f>
        <v/>
      </c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</row>
    <row r="65" ht="22" customHeight="1" s="30">
      <c r="A65" s="40">
        <f>IF(COUNTA(B65:L65)=0,"",ROW()-11)</f>
        <v/>
      </c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</row>
    <row r="66" ht="22" customHeight="1" s="30">
      <c r="A66" s="40">
        <f>IF(COUNTA(B66:L66)=0,"",ROW()-11)</f>
        <v/>
      </c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</row>
    <row r="67" ht="22" customHeight="1" s="30">
      <c r="A67" s="40">
        <f>IF(COUNTA(B67:L67)=0,"",ROW()-11)</f>
        <v/>
      </c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</row>
    <row r="68" ht="22" customHeight="1" s="30">
      <c r="A68" s="40">
        <f>IF(COUNTA(B68:L68)=0,"",ROW()-11)</f>
        <v/>
      </c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</row>
    <row r="69" ht="22" customHeight="1" s="30">
      <c r="A69" s="40">
        <f>IF(COUNTA(B69:L69)=0,"",ROW()-11)</f>
        <v/>
      </c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</row>
    <row r="70" ht="22" customHeight="1" s="30">
      <c r="A70" s="40">
        <f>IF(COUNTA(B70:L70)=0,"",ROW()-11)</f>
        <v/>
      </c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</row>
    <row r="71" ht="22" customHeight="1" s="30">
      <c r="A71" s="40">
        <f>IF(COUNTA(B71:L71)=0,"",ROW()-11)</f>
        <v/>
      </c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</row>
    <row r="72" ht="22" customHeight="1" s="30">
      <c r="A72" s="40">
        <f>IF(COUNTA(B72:L72)=0,"",ROW()-11)</f>
        <v/>
      </c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</row>
    <row r="73" ht="22" customHeight="1" s="30">
      <c r="A73" s="40">
        <f>IF(COUNTA(B73:L73)=0,"",ROW()-11)</f>
        <v/>
      </c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</row>
    <row r="74" ht="22" customHeight="1" s="30">
      <c r="A74" s="40">
        <f>IF(COUNTA(B74:L74)=0,"",ROW()-11)</f>
        <v/>
      </c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</row>
    <row r="75" ht="22" customHeight="1" s="30">
      <c r="A75" s="40">
        <f>IF(COUNTA(B75:L75)=0,"",ROW()-11)</f>
        <v/>
      </c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</row>
    <row r="76" ht="22" customHeight="1" s="30">
      <c r="A76" s="40">
        <f>IF(COUNTA(B76:L76)=0,"",ROW()-11)</f>
        <v/>
      </c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</row>
    <row r="77" ht="22" customHeight="1" s="30">
      <c r="A77" s="40">
        <f>IF(COUNTA(B77:L77)=0,"",ROW()-11)</f>
        <v/>
      </c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</row>
    <row r="78" ht="22" customHeight="1" s="30">
      <c r="A78" s="40">
        <f>IF(COUNTA(B78:L78)=0,"",ROW()-11)</f>
        <v/>
      </c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</row>
    <row r="79" ht="22" customHeight="1" s="30">
      <c r="A79" s="40">
        <f>IF(COUNTA(B79:L79)=0,"",ROW()-11)</f>
        <v/>
      </c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</row>
    <row r="80" ht="22" customHeight="1" s="30">
      <c r="A80" s="40">
        <f>IF(COUNTA(B80:L80)=0,"",ROW()-11)</f>
        <v/>
      </c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</row>
    <row r="81" ht="22" customHeight="1" s="30">
      <c r="A81" s="40">
        <f>IF(COUNTA(B81:L81)=0,"",ROW()-11)</f>
        <v/>
      </c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</row>
    <row r="82" ht="22" customHeight="1" s="30">
      <c r="A82" s="40">
        <f>IF(COUNTA(B82:L82)=0,"",ROW()-11)</f>
        <v/>
      </c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</row>
    <row r="83" ht="22" customHeight="1" s="30">
      <c r="A83" s="40">
        <f>IF(COUNTA(B83:L83)=0,"",ROW()-11)</f>
        <v/>
      </c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</row>
    <row r="84" ht="22" customHeight="1" s="30">
      <c r="A84" s="40">
        <f>IF(COUNTA(B84:L84)=0,"",ROW()-11)</f>
        <v/>
      </c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</row>
    <row r="85" ht="22" customHeight="1" s="30">
      <c r="A85" s="40">
        <f>IF(COUNTA(B85:L85)=0,"",ROW()-11)</f>
        <v/>
      </c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</row>
    <row r="86" ht="22" customHeight="1" s="30">
      <c r="A86" s="40">
        <f>IF(COUNTA(B86:L86)=0,"",ROW()-11)</f>
        <v/>
      </c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</row>
    <row r="87" ht="22" customHeight="1" s="30">
      <c r="A87" s="40">
        <f>IF(COUNTA(B87:L87)=0,"",ROW()-11)</f>
        <v/>
      </c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</row>
    <row r="88" ht="22" customHeight="1" s="30">
      <c r="A88" s="40">
        <f>IF(COUNTA(B88:L88)=0,"",ROW()-11)</f>
        <v/>
      </c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</row>
    <row r="89" ht="22" customHeight="1" s="30">
      <c r="A89" s="40">
        <f>IF(COUNTA(B89:L89)=0,"",ROW()-11)</f>
        <v/>
      </c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</row>
    <row r="90" ht="22" customHeight="1" s="30">
      <c r="A90" s="40">
        <f>IF(COUNTA(B90:L90)=0,"",ROW()-11)</f>
        <v/>
      </c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</row>
    <row r="91" ht="22" customHeight="1" s="30">
      <c r="A91" s="40">
        <f>IF(COUNTA(B91:L91)=0,"",ROW()-11)</f>
        <v/>
      </c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</row>
    <row r="92" ht="22" customHeight="1" s="30">
      <c r="A92" s="40">
        <f>IF(COUNTA(B92:L92)=0,"",ROW()-11)</f>
        <v/>
      </c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</row>
    <row r="93" ht="22" customHeight="1" s="30">
      <c r="A93" s="40">
        <f>IF(COUNTA(B93:L93)=0,"",ROW()-11)</f>
        <v/>
      </c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</row>
    <row r="94" ht="22" customHeight="1" s="30">
      <c r="A94" s="40">
        <f>IF(COUNTA(B94:L94)=0,"",ROW()-11)</f>
        <v/>
      </c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</row>
    <row r="95" ht="22" customHeight="1" s="30">
      <c r="A95" s="40">
        <f>IF(COUNTA(B95:L95)=0,"",ROW()-11)</f>
        <v/>
      </c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</row>
    <row r="96" ht="22" customHeight="1" s="30">
      <c r="A96" s="40">
        <f>IF(COUNTA(B96:L96)=0,"",ROW()-11)</f>
        <v/>
      </c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</row>
    <row r="97" ht="22" customHeight="1" s="30">
      <c r="A97" s="40">
        <f>IF(COUNTA(B97:L97)=0,"",ROW()-11)</f>
        <v/>
      </c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</row>
    <row r="98" ht="22" customHeight="1" s="30">
      <c r="A98" s="40">
        <f>IF(COUNTA(B98:L98)=0,"",ROW()-11)</f>
        <v/>
      </c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</row>
    <row r="99" ht="22" customHeight="1" s="30">
      <c r="A99" s="40">
        <f>IF(COUNTA(B99:L99)=0,"",ROW()-11)</f>
        <v/>
      </c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</row>
    <row r="100" ht="22" customHeight="1" s="30">
      <c r="A100" s="40">
        <f>IF(COUNTA(B100:L100)=0,"",ROW()-11)</f>
        <v/>
      </c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</row>
    <row r="101" ht="22" customHeight="1" s="30">
      <c r="A101" s="40">
        <f>IF(COUNTA(B101:L101)=0,"",ROW()-11)</f>
        <v/>
      </c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</row>
    <row r="102" ht="22" customHeight="1" s="30">
      <c r="A102" s="40">
        <f>IF(COUNTA(B102:L102)=0,"",ROW()-11)</f>
        <v/>
      </c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</row>
    <row r="103" ht="22" customHeight="1" s="30">
      <c r="A103" s="40">
        <f>IF(COUNTA(B103:L103)=0,"",ROW()-11)</f>
        <v/>
      </c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</row>
    <row r="104" ht="22" customHeight="1" s="30">
      <c r="A104" s="40">
        <f>IF(COUNTA(B104:L104)=0,"",ROW()-11)</f>
        <v/>
      </c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</row>
    <row r="105" ht="22" customHeight="1" s="30">
      <c r="A105" s="40">
        <f>IF(COUNTA(B105:L105)=0,"",ROW()-11)</f>
        <v/>
      </c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</row>
    <row r="106" ht="22" customHeight="1" s="30">
      <c r="A106" s="40">
        <f>IF(COUNTA(B106:L106)=0,"",ROW()-11)</f>
        <v/>
      </c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</row>
    <row r="107" ht="22" customHeight="1" s="30">
      <c r="A107" s="40">
        <f>IF(COUNTA(B107:L107)=0,"",ROW()-11)</f>
        <v/>
      </c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</row>
    <row r="108" ht="22" customHeight="1" s="30">
      <c r="A108" s="40">
        <f>IF(COUNTA(B108:L108)=0,"",ROW()-11)</f>
        <v/>
      </c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</row>
    <row r="109" ht="22" customHeight="1" s="30">
      <c r="A109" s="40">
        <f>IF(COUNTA(B109:L109)=0,"",ROW()-11)</f>
        <v/>
      </c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</row>
    <row r="110" ht="22" customHeight="1" s="30">
      <c r="A110" s="40">
        <f>IF(COUNTA(B110:L110)=0,"",ROW()-11)</f>
        <v/>
      </c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</row>
    <row r="111" ht="22" customHeight="1" s="30">
      <c r="A111" s="40">
        <f>IF(COUNTA(B111:L111)=0,"",ROW()-11)</f>
        <v/>
      </c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</row>
    <row r="112" ht="22" customHeight="1" s="30">
      <c r="A112" s="39" t="inlineStr">
        <is>
          <t>合计</t>
        </is>
      </c>
      <c r="B112" s="39" t="inlineStr"/>
      <c r="C112" s="39" t="inlineStr"/>
      <c r="D112" s="39" t="inlineStr"/>
      <c r="E112" s="39" t="inlineStr"/>
      <c r="F112" s="39" t="inlineStr"/>
      <c r="G112" s="40">
        <f>SUM(G12:G111)</f>
        <v/>
      </c>
      <c r="H112" s="40">
        <f>SUM(H12:H111)</f>
        <v/>
      </c>
      <c r="I112" s="39" t="inlineStr"/>
      <c r="J112" s="39" t="inlineStr"/>
      <c r="K112" s="39" t="inlineStr"/>
      <c r="L112" s="39" t="inlineStr"/>
    </row>
    <row r="113" ht="22" customHeight="1" s="30">
      <c r="A113" s="39" t="inlineStr">
        <is>
          <t>与主表期末审定数差异</t>
        </is>
      </c>
      <c r="B113" s="39" t="inlineStr"/>
      <c r="C113" s="39" t="inlineStr"/>
      <c r="D113" s="39" t="inlineStr"/>
      <c r="E113" s="39" t="inlineStr"/>
      <c r="F113" s="39" t="inlineStr"/>
      <c r="G113" s="40" t="inlineStr"/>
      <c r="H113" s="40">
        <f>H112-货币资金主表!I33</f>
        <v/>
      </c>
      <c r="I113" s="39" t="inlineStr"/>
      <c r="J113" s="39" t="inlineStr"/>
      <c r="K113" s="39" t="inlineStr"/>
      <c r="L113" s="39" t="inlineStr"/>
    </row>
    <row r="114" ht="22" customHeight="1" s="30">
      <c r="A114" s="39" t="inlineStr">
        <is>
          <t>核对状态</t>
        </is>
      </c>
      <c r="B114" s="39" t="inlineStr"/>
      <c r="C114" s="39" t="inlineStr"/>
      <c r="D114" s="39" t="inlineStr"/>
      <c r="E114" s="39" t="inlineStr"/>
      <c r="F114" s="39" t="inlineStr"/>
      <c r="G114" s="40" t="inlineStr"/>
      <c r="H114" s="43">
        <f>IF(ROUND(H113,2)=0,"通过","待核对")</f>
        <v/>
      </c>
      <c r="I114" s="39" t="inlineStr"/>
      <c r="J114" s="39" t="inlineStr"/>
      <c r="K114" s="39" t="inlineStr"/>
      <c r="L114" s="39" t="inlineStr"/>
    </row>
    <row r="115" ht="18" customHeight="1" s="30"/>
    <row r="116" ht="18" customHeight="1" s="30"/>
    <row r="117" ht="18" customHeight="1" s="30"/>
    <row r="118" ht="18" customHeight="1" s="30"/>
  </sheetData>
  <mergeCells count="1">
    <mergeCell ref="A1:L1"/>
  </mergeCells>
  <conditionalFormatting sqref="H114">
    <cfRule type="cellIs" priority="1" operator="equal" dxfId="0">
      <formula>"待核对"</formula>
    </cfRule>
  </conditionalFormatting>
  <dataValidations count="3">
    <dataValidation sqref="J12:J111" showDropDown="0" showInputMessage="0" showErrorMessage="0" allowBlank="1" type="list">
      <formula1>"是,否,不适用"</formula1>
    </dataValidation>
    <dataValidation sqref="F12:F111" showDropDown="0" showInputMessage="0" showErrorMessage="0" allowBlank="1" type="list">
      <formula1>"CNY,USD,EUR,HKD,JPY,GBP"</formula1>
    </dataValidation>
    <dataValidation sqref="J12:J111" showDropDown="0" showInputMessage="0" showErrorMessage="0" allowBlank="1" type="list">
      <formula1>"是,否"</formula1>
    </dataValidation>
  </dataValidations>
  <pageMargins left="0.35" right="0.35" top="0.5" bottom="0.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C9A70"/>
    <outlinePr summaryBelow="1" summaryRight="1"/>
    <pageSetUpPr fitToPage="1"/>
  </sheetPr>
  <dimension ref="A1:G36"/>
  <sheetViews>
    <sheetView showGridLines="0" zoomScale="70" workbookViewId="0">
      <pane ySplit="17" topLeftCell="A18" activePane="bottomLeft" state="frozen"/>
      <selection pane="bottomLeft" activeCell="A1" sqref="A1"/>
    </sheetView>
  </sheetViews>
  <sheetFormatPr baseColWidth="8" defaultRowHeight="13.8"/>
  <cols>
    <col width="20" customWidth="1" style="30" min="1" max="1"/>
    <col width="16" customWidth="1" style="30" min="2" max="2"/>
    <col width="16" customWidth="1" style="30" min="3" max="3"/>
    <col width="20" customWidth="1" style="30" min="4" max="4"/>
    <col width="16" customWidth="1" style="30" min="5" max="5"/>
    <col width="16" customWidth="1" style="30" min="6" max="6"/>
    <col width="22" customWidth="1" style="30" min="7" max="8"/>
    <col width="16.796875" customWidth="1" style="30" min="9" max="9"/>
    <col width="18.19921875" customWidth="1" style="30" min="10" max="10"/>
    <col width="16.796875" customWidth="1" style="30" min="11" max="11"/>
    <col width="19.5" customWidth="1" style="30" min="12" max="13"/>
    <col width="22.19921875" customWidth="1" style="30" min="14" max="14"/>
    <col width="23.5" customWidth="1" style="30" min="15" max="15"/>
  </cols>
  <sheetData>
    <row r="1" ht="22" customHeight="1" s="30">
      <c r="A1" s="37" t="inlineStr">
        <is>
          <t>银行余额调节</t>
        </is>
      </c>
      <c r="B1" s="38" t="n"/>
      <c r="C1" s="38" t="n"/>
      <c r="D1" s="38" t="n"/>
      <c r="E1" s="38" t="n"/>
      <c r="F1" s="38" t="n"/>
      <c r="G1" s="38" t="n"/>
    </row>
    <row r="2" ht="22" customHeight="1" s="30">
      <c r="A2" s="39" t="n"/>
      <c r="B2" s="39" t="n"/>
      <c r="C2" s="39" t="n"/>
      <c r="D2" s="39" t="n"/>
      <c r="E2" s="39" t="n"/>
      <c r="F2" s="39" t="n"/>
      <c r="G2" s="39" t="n"/>
    </row>
    <row r="3" ht="22" customHeight="1" s="30">
      <c r="A3" s="39" t="inlineStr">
        <is>
          <t>测试阈值</t>
        </is>
      </c>
      <c r="B3" s="40">
        <f>IF(COUNT(货币资金主表!D15:D16)=0,"",MIN(货币资金主表!D15:D16))</f>
        <v/>
      </c>
      <c r="C3" s="39" t="inlineStr">
        <is>
          <t>用于识别和测试调节项</t>
        </is>
      </c>
      <c r="D3" s="39" t="inlineStr"/>
      <c r="E3" s="39" t="inlineStr"/>
      <c r="F3" s="39" t="inlineStr"/>
      <c r="G3" s="39" t="inlineStr"/>
    </row>
    <row r="4" ht="22" customHeight="1" s="30">
      <c r="A4" s="39" t="inlineStr">
        <is>
          <t>截止期间</t>
        </is>
      </c>
      <c r="B4" s="44" t="inlineStr"/>
      <c r="C4" s="39" t="inlineStr">
        <is>
          <t>由项目组根据风险评估、账户性质和交易处理周期确定</t>
        </is>
      </c>
      <c r="D4" s="39" t="inlineStr"/>
      <c r="E4" s="39" t="inlineStr"/>
      <c r="F4" s="39" t="inlineStr"/>
      <c r="G4" s="39" t="inlineStr"/>
    </row>
    <row r="5" ht="22" customHeight="1" s="30">
      <c r="A5" s="39" t="inlineStr">
        <is>
          <t>选取说明</t>
        </is>
      </c>
      <c r="B5" s="44" t="inlineStr"/>
      <c r="C5" s="39" t="inlineStr"/>
      <c r="D5" s="39" t="inlineStr"/>
      <c r="E5" s="39" t="inlineStr"/>
      <c r="F5" s="39" t="inlineStr"/>
      <c r="G5" s="39" t="inlineStr"/>
    </row>
    <row r="6" ht="22" customHeight="1" s="30">
      <c r="A6" s="39" t="inlineStr">
        <is>
          <t>结论</t>
        </is>
      </c>
      <c r="B6" s="44" t="inlineStr"/>
      <c r="C6" s="39" t="inlineStr"/>
      <c r="D6" s="39" t="inlineStr"/>
      <c r="E6" s="39" t="inlineStr"/>
      <c r="F6" s="39" t="inlineStr"/>
      <c r="G6" s="39" t="inlineStr"/>
    </row>
    <row r="7" ht="22" customHeight="1" s="30">
      <c r="A7" s="39" t="n"/>
      <c r="B7" s="39" t="n"/>
      <c r="C7" s="39" t="n"/>
      <c r="D7" s="39" t="n"/>
      <c r="E7" s="39" t="n"/>
      <c r="F7" s="39" t="n"/>
      <c r="G7" s="39" t="n"/>
    </row>
    <row r="8" ht="22" customHeight="1" s="30">
      <c r="A8" s="39" t="n"/>
      <c r="B8" s="39" t="n"/>
      <c r="C8" s="39" t="n"/>
      <c r="D8" s="39" t="n"/>
      <c r="E8" s="39" t="n"/>
      <c r="F8" s="39" t="n"/>
      <c r="G8" s="39" t="n"/>
    </row>
    <row r="9" ht="22" customHeight="1" s="30">
      <c r="A9" s="41" t="inlineStr">
        <is>
          <t>账户信息</t>
        </is>
      </c>
      <c r="B9" s="39" t="n"/>
      <c r="C9" s="39" t="n"/>
      <c r="D9" s="39" t="n"/>
      <c r="E9" s="39" t="n"/>
      <c r="F9" s="39" t="n"/>
      <c r="G9" s="39" t="n"/>
    </row>
    <row r="10" ht="22" customHeight="1" s="30">
      <c r="A10" s="39" t="inlineStr">
        <is>
          <t>科目</t>
        </is>
      </c>
      <c r="B10" s="44" t="inlineStr"/>
      <c r="C10" s="39" t="inlineStr">
        <is>
          <t>索引</t>
        </is>
      </c>
      <c r="D10" s="44" t="inlineStr"/>
      <c r="E10" s="39" t="inlineStr">
        <is>
          <t>编制日期</t>
        </is>
      </c>
      <c r="F10" s="44" t="inlineStr"/>
      <c r="G10" s="39" t="inlineStr"/>
    </row>
    <row r="11" ht="22" customHeight="1" s="30">
      <c r="A11" s="39" t="inlineStr">
        <is>
          <t>银行</t>
        </is>
      </c>
      <c r="B11" s="44" t="inlineStr"/>
      <c r="C11" s="39" t="inlineStr">
        <is>
          <t>账号</t>
        </is>
      </c>
      <c r="D11" s="44" t="inlineStr"/>
      <c r="E11" s="39" t="inlineStr">
        <is>
          <t>币种</t>
        </is>
      </c>
      <c r="F11" s="44" t="inlineStr"/>
      <c r="G11" s="39" t="inlineStr"/>
    </row>
    <row r="12" ht="22" customHeight="1" s="30">
      <c r="A12" s="39" t="inlineStr">
        <is>
          <t>账户性质</t>
        </is>
      </c>
      <c r="B12" s="44" t="inlineStr"/>
      <c r="C12" s="39" t="inlineStr">
        <is>
          <t>有无调节项</t>
        </is>
      </c>
      <c r="D12" s="44" t="inlineStr"/>
      <c r="E12" s="39" t="inlineStr">
        <is>
          <t>资料</t>
        </is>
      </c>
      <c r="F12" s="44" t="inlineStr"/>
      <c r="G12" s="39" t="inlineStr"/>
    </row>
    <row r="13" ht="22" customHeight="1" s="30">
      <c r="A13" s="39" t="n"/>
      <c r="B13" s="39" t="n"/>
      <c r="C13" s="39" t="n"/>
      <c r="D13" s="39" t="n"/>
      <c r="E13" s="39" t="n"/>
      <c r="F13" s="39" t="n"/>
      <c r="G13" s="39" t="n"/>
    </row>
    <row r="14" ht="22" customHeight="1" s="30">
      <c r="A14" s="39" t="n"/>
      <c r="B14" s="39" t="n"/>
      <c r="C14" s="39" t="n"/>
      <c r="D14" s="39" t="n"/>
      <c r="E14" s="39" t="n"/>
      <c r="F14" s="39" t="n"/>
      <c r="G14" s="39" t="n"/>
    </row>
    <row r="15" ht="22" customHeight="1" s="30">
      <c r="A15" s="39" t="n"/>
      <c r="B15" s="39" t="n"/>
      <c r="C15" s="39" t="n"/>
      <c r="D15" s="39" t="n"/>
      <c r="E15" s="39" t="n"/>
      <c r="F15" s="39" t="n"/>
      <c r="G15" s="39" t="n"/>
    </row>
    <row r="16" ht="22" customHeight="1" s="30">
      <c r="A16" s="39" t="n"/>
      <c r="B16" s="39" t="n"/>
      <c r="C16" s="39" t="n"/>
      <c r="D16" s="39" t="n"/>
      <c r="E16" s="39" t="n"/>
      <c r="F16" s="39" t="n"/>
      <c r="G16" s="39" t="n"/>
    </row>
    <row r="17" ht="22" customHeight="1" s="30">
      <c r="A17" s="41" t="inlineStr">
        <is>
          <t>余额调节表</t>
        </is>
      </c>
      <c r="B17" s="39" t="n"/>
      <c r="C17" s="39" t="n"/>
      <c r="D17" s="39" t="n"/>
      <c r="E17" s="39" t="n"/>
      <c r="F17" s="39" t="n"/>
      <c r="G17" s="39" t="n"/>
    </row>
    <row r="18" ht="22" customHeight="1" s="30">
      <c r="A18" s="42" t="inlineStr">
        <is>
          <t>账面侧</t>
        </is>
      </c>
      <c r="B18" s="42" t="inlineStr">
        <is>
          <t>账面金额(原币)</t>
        </is>
      </c>
      <c r="C18" s="42" t="inlineStr">
        <is>
          <t>索引</t>
        </is>
      </c>
      <c r="D18" s="42" t="inlineStr">
        <is>
          <t>银行侧</t>
        </is>
      </c>
      <c r="E18" s="42" t="inlineStr">
        <is>
          <t>对账单金额</t>
        </is>
      </c>
      <c r="F18" s="42" t="inlineStr">
        <is>
          <t>索引</t>
        </is>
      </c>
      <c r="G18" s="42" t="inlineStr">
        <is>
          <t>备注</t>
        </is>
      </c>
    </row>
    <row r="19" ht="22" customHeight="1" s="30">
      <c r="A19" s="39" t="inlineStr">
        <is>
          <t>期末账面余额</t>
        </is>
      </c>
      <c r="B19" s="44" t="inlineStr"/>
      <c r="C19" s="39" t="inlineStr"/>
      <c r="D19" s="39" t="inlineStr">
        <is>
          <t>银行对账单余额</t>
        </is>
      </c>
      <c r="E19" s="44" t="inlineStr"/>
      <c r="F19" s="39" t="inlineStr"/>
      <c r="G19" s="39" t="inlineStr"/>
    </row>
    <row r="20" ht="22" customHeight="1" s="30">
      <c r="A20" s="39" t="inlineStr">
        <is>
          <t>加：银收企未收</t>
        </is>
      </c>
      <c r="B20" s="40">
        <f>SUM(B21:B25)</f>
        <v/>
      </c>
      <c r="C20" s="39" t="inlineStr"/>
      <c r="D20" s="39" t="inlineStr">
        <is>
          <t>加：企收银未收</t>
        </is>
      </c>
      <c r="E20" s="40">
        <f>SUM(E21:E25)</f>
        <v/>
      </c>
      <c r="F20" s="39" t="inlineStr"/>
      <c r="G20" s="39" t="inlineStr"/>
    </row>
    <row r="21" ht="22" customHeight="1" s="30">
      <c r="A21" s="39" t="inlineStr">
        <is>
          <t>明细1</t>
        </is>
      </c>
      <c r="B21" s="40" t="inlineStr"/>
      <c r="C21" s="44" t="inlineStr"/>
      <c r="D21" s="39" t="inlineStr">
        <is>
          <t>明细1</t>
        </is>
      </c>
      <c r="E21" s="40" t="inlineStr"/>
      <c r="F21" s="44" t="inlineStr"/>
      <c r="G21" s="39" t="inlineStr"/>
    </row>
    <row r="22" ht="22" customHeight="1" s="30">
      <c r="A22" s="39" t="inlineStr">
        <is>
          <t>明细2</t>
        </is>
      </c>
      <c r="B22" s="40" t="inlineStr"/>
      <c r="C22" s="44" t="inlineStr"/>
      <c r="D22" s="39" t="inlineStr">
        <is>
          <t>明细2</t>
        </is>
      </c>
      <c r="E22" s="40" t="inlineStr"/>
      <c r="F22" s="44" t="inlineStr"/>
      <c r="G22" s="39" t="inlineStr"/>
    </row>
    <row r="23" ht="22" customHeight="1" s="30">
      <c r="A23" s="39" t="inlineStr">
        <is>
          <t>明细3</t>
        </is>
      </c>
      <c r="B23" s="40" t="inlineStr"/>
      <c r="C23" s="44" t="inlineStr"/>
      <c r="D23" s="39" t="inlineStr">
        <is>
          <t>明细3</t>
        </is>
      </c>
      <c r="E23" s="40" t="inlineStr"/>
      <c r="F23" s="44" t="inlineStr"/>
      <c r="G23" s="39" t="inlineStr"/>
    </row>
    <row r="24" ht="22" customHeight="1" s="30">
      <c r="A24" s="39" t="inlineStr">
        <is>
          <t>明细4</t>
        </is>
      </c>
      <c r="B24" s="40" t="inlineStr"/>
      <c r="C24" s="44" t="inlineStr"/>
      <c r="D24" s="39" t="inlineStr">
        <is>
          <t>明细4</t>
        </is>
      </c>
      <c r="E24" s="40" t="inlineStr"/>
      <c r="F24" s="44" t="inlineStr"/>
      <c r="G24" s="39" t="inlineStr"/>
    </row>
    <row r="25" ht="22" customHeight="1" s="30">
      <c r="A25" s="39" t="inlineStr">
        <is>
          <t>明细5</t>
        </is>
      </c>
      <c r="B25" s="40" t="inlineStr"/>
      <c r="C25" s="44" t="inlineStr"/>
      <c r="D25" s="39" t="inlineStr">
        <is>
          <t>明细5</t>
        </is>
      </c>
      <c r="E25" s="40" t="inlineStr"/>
      <c r="F25" s="44" t="inlineStr"/>
      <c r="G25" s="39" t="inlineStr"/>
    </row>
    <row r="26" ht="22" customHeight="1" s="30">
      <c r="A26" s="39" t="inlineStr">
        <is>
          <t>减：银付企未付</t>
        </is>
      </c>
      <c r="B26" s="40">
        <f>SUM(B27:B31)</f>
        <v/>
      </c>
      <c r="C26" s="44" t="inlineStr"/>
      <c r="D26" s="39" t="inlineStr">
        <is>
          <t>减：企付银未付</t>
        </is>
      </c>
      <c r="E26" s="40">
        <f>SUM(E27:E31)</f>
        <v/>
      </c>
      <c r="F26" s="44" t="inlineStr"/>
      <c r="G26" s="39" t="inlineStr"/>
    </row>
    <row r="27" ht="22" customHeight="1" s="30">
      <c r="A27" s="39" t="inlineStr">
        <is>
          <t>明细1</t>
        </is>
      </c>
      <c r="B27" s="40" t="inlineStr"/>
      <c r="C27" s="44" t="inlineStr"/>
      <c r="D27" s="39" t="inlineStr">
        <is>
          <t>明细1</t>
        </is>
      </c>
      <c r="E27" s="40" t="inlineStr"/>
      <c r="F27" s="44" t="inlineStr"/>
      <c r="G27" s="39" t="inlineStr"/>
    </row>
    <row r="28" ht="22" customHeight="1" s="30">
      <c r="A28" s="39" t="inlineStr">
        <is>
          <t>明细2</t>
        </is>
      </c>
      <c r="B28" s="40" t="inlineStr"/>
      <c r="C28" s="44" t="inlineStr"/>
      <c r="D28" s="39" t="inlineStr">
        <is>
          <t>明细2</t>
        </is>
      </c>
      <c r="E28" s="40" t="inlineStr"/>
      <c r="F28" s="44" t="inlineStr"/>
      <c r="G28" s="39" t="inlineStr"/>
    </row>
    <row r="29" ht="22" customHeight="1" s="30">
      <c r="A29" s="39" t="inlineStr">
        <is>
          <t>明细3</t>
        </is>
      </c>
      <c r="B29" s="40" t="inlineStr"/>
      <c r="C29" s="44" t="inlineStr"/>
      <c r="D29" s="39" t="inlineStr">
        <is>
          <t>明细3</t>
        </is>
      </c>
      <c r="E29" s="40" t="inlineStr"/>
      <c r="F29" s="44" t="inlineStr"/>
      <c r="G29" s="39" t="inlineStr"/>
    </row>
    <row r="30" ht="22" customHeight="1" s="30">
      <c r="A30" s="39" t="inlineStr">
        <is>
          <t>明细4</t>
        </is>
      </c>
      <c r="B30" s="40" t="inlineStr"/>
      <c r="C30" s="44" t="inlineStr"/>
      <c r="D30" s="39" t="inlineStr">
        <is>
          <t>明细4</t>
        </is>
      </c>
      <c r="E30" s="40" t="inlineStr"/>
      <c r="F30" s="44" t="inlineStr"/>
      <c r="G30" s="39" t="inlineStr"/>
    </row>
    <row r="31" ht="22" customHeight="1" s="30">
      <c r="A31" s="39" t="inlineStr">
        <is>
          <t>明细5</t>
        </is>
      </c>
      <c r="B31" s="40" t="inlineStr"/>
      <c r="C31" s="44" t="inlineStr"/>
      <c r="D31" s="39" t="inlineStr">
        <is>
          <t>明细5</t>
        </is>
      </c>
      <c r="E31" s="40" t="inlineStr"/>
      <c r="F31" s="44" t="inlineStr"/>
      <c r="G31" s="39" t="inlineStr"/>
    </row>
    <row r="32" ht="22" customHeight="1" s="30">
      <c r="A32" s="39" t="inlineStr">
        <is>
          <t>调节后金额</t>
        </is>
      </c>
      <c r="B32" s="40">
        <f>B19+B20-B26</f>
        <v/>
      </c>
      <c r="C32" s="39" t="inlineStr"/>
      <c r="D32" s="39" t="inlineStr">
        <is>
          <t>调节后金额</t>
        </is>
      </c>
      <c r="E32" s="40">
        <f>E19+E20-E26</f>
        <v/>
      </c>
      <c r="F32" s="39" t="inlineStr"/>
      <c r="G32" s="39" t="inlineStr"/>
    </row>
    <row r="33" ht="22" customHeight="1" s="30">
      <c r="A33" s="39" t="inlineStr">
        <is>
          <t>核对</t>
        </is>
      </c>
      <c r="B33" s="40">
        <f>E32-B32</f>
        <v/>
      </c>
      <c r="C33" s="39" t="inlineStr"/>
      <c r="D33" s="39" t="inlineStr">
        <is>
          <t>核对状态</t>
        </is>
      </c>
      <c r="E33" s="43">
        <f>IF(ROUND(B33,2)=0,"通过","待核对")</f>
        <v/>
      </c>
      <c r="F33" s="39" t="inlineStr"/>
      <c r="G33" s="39" t="inlineStr"/>
    </row>
    <row r="34" ht="22" customHeight="1" s="30">
      <c r="A34" s="39" t="n"/>
      <c r="B34" s="39" t="n"/>
      <c r="C34" s="39" t="n"/>
      <c r="D34" s="39" t="n"/>
      <c r="E34" s="39" t="n"/>
      <c r="F34" s="39" t="n"/>
      <c r="G34" s="39" t="n"/>
    </row>
    <row r="35" ht="22" customHeight="1" s="30">
      <c r="A35" s="39" t="n"/>
      <c r="B35" s="39" t="n"/>
      <c r="C35" s="39" t="n"/>
      <c r="D35" s="39" t="n"/>
      <c r="E35" s="39" t="n"/>
      <c r="F35" s="39" t="n"/>
      <c r="G35" s="39" t="n"/>
    </row>
    <row r="36" ht="22" customHeight="1" s="30">
      <c r="A36" s="39" t="n"/>
      <c r="B36" s="39" t="n"/>
      <c r="C36" s="39" t="n"/>
      <c r="D36" s="39" t="n"/>
      <c r="E36" s="39" t="n"/>
      <c r="F36" s="39" t="n"/>
      <c r="G36" s="39" t="n"/>
    </row>
    <row r="37" ht="18" customHeight="1" s="30"/>
    <row r="38" ht="18" customHeight="1" s="30"/>
    <row r="39" ht="18" customHeight="1" s="30"/>
    <row r="40" ht="18" customHeight="1" s="30"/>
    <row r="41" ht="18" customHeight="1" s="30"/>
    <row r="42" ht="18" customHeight="1" s="30"/>
    <row r="43" ht="18" customHeight="1" s="30"/>
    <row r="44" ht="18" customHeight="1" s="30"/>
    <row r="45" ht="18" customHeight="1" s="30"/>
    <row r="46" ht="18" customHeight="1" s="30"/>
    <row r="47" ht="18" customHeight="1" s="30"/>
    <row r="48" ht="18" customHeight="1" s="30"/>
    <row r="49" ht="18" customHeight="1" s="30"/>
    <row r="50" ht="18" customHeight="1" s="30"/>
    <row r="51" ht="18" customHeight="1" s="30"/>
    <row r="52" ht="18" customHeight="1" s="30"/>
    <row r="53" ht="18" customHeight="1" s="30"/>
    <row r="54" ht="18" customHeight="1" s="30"/>
    <row r="55" ht="18" customHeight="1" s="30"/>
    <row r="56" ht="18" customHeight="1" s="30"/>
    <row r="57" ht="18" customHeight="1" s="30"/>
    <row r="58" ht="18" customHeight="1" s="30"/>
    <row r="59" ht="18" customHeight="1" s="30"/>
    <row r="60" ht="18" customHeight="1" s="30"/>
    <row r="61" ht="18" customHeight="1" s="30"/>
    <row r="62" ht="18" customHeight="1" s="30"/>
    <row r="63" ht="18" customHeight="1" s="30"/>
    <row r="64" ht="18" customHeight="1" s="30"/>
    <row r="65" ht="18" customHeight="1" s="30"/>
    <row r="66" ht="18" customHeight="1" s="30"/>
    <row r="67" ht="18" customHeight="1" s="30"/>
    <row r="68" ht="18" customHeight="1" s="30"/>
    <row r="69" ht="18" customHeight="1" s="30"/>
    <row r="70" ht="18" customHeight="1" s="30"/>
    <row r="71" ht="18" customHeight="1" s="30"/>
    <row r="72" ht="18" customHeight="1" s="30"/>
    <row r="73" ht="18" customHeight="1" s="30"/>
    <row r="74" ht="18" customHeight="1" s="30"/>
    <row r="75" ht="18" customHeight="1" s="30"/>
    <row r="76" ht="18" customHeight="1" s="30"/>
    <row r="77" ht="18" customHeight="1" s="30"/>
    <row r="78" ht="18" customHeight="1" s="30"/>
    <row r="79" ht="18" customHeight="1" s="30"/>
    <row r="80" ht="18" customHeight="1" s="30"/>
    <row r="81" ht="18" customHeight="1" s="30"/>
    <row r="82" ht="18" customHeight="1" s="30"/>
    <row r="83" ht="18" customHeight="1" s="30"/>
    <row r="84" ht="18" customHeight="1" s="30"/>
    <row r="85" ht="18" customHeight="1" s="30"/>
    <row r="86" ht="18" customHeight="1" s="30"/>
    <row r="87" ht="18" customHeight="1" s="30"/>
    <row r="88" ht="18" customHeight="1" s="30"/>
    <row r="89" ht="18" customHeight="1" s="30"/>
    <row r="90" ht="18" customHeight="1" s="30"/>
    <row r="91" ht="18" customHeight="1" s="30"/>
    <row r="92" ht="18" customHeight="1" s="30"/>
    <row r="93" ht="18" customHeight="1" s="30"/>
    <row r="94" ht="18" customHeight="1" s="30"/>
    <row r="95" ht="18" customHeight="1" s="30"/>
    <row r="96" ht="18" customHeight="1" s="30"/>
    <row r="97" ht="18" customHeight="1" s="30"/>
    <row r="98" ht="18" customHeight="1" s="30"/>
    <row r="99" ht="18" customHeight="1" s="30"/>
    <row r="100" ht="18" customHeight="1" s="30"/>
    <row r="101" ht="18" customHeight="1" s="30"/>
    <row r="102" ht="18" customHeight="1" s="30"/>
    <row r="103" ht="18" customHeight="1" s="30"/>
    <row r="104" ht="18" customHeight="1" s="30"/>
    <row r="105" ht="18" customHeight="1" s="30"/>
    <row r="106" ht="18" customHeight="1" s="30"/>
    <row r="107" ht="18" customHeight="1" s="30"/>
    <row r="108" ht="18" customHeight="1" s="30"/>
    <row r="109" ht="18" customHeight="1" s="30"/>
    <row r="110" ht="18" customHeight="1" s="30"/>
  </sheetData>
  <mergeCells count="3">
    <mergeCell ref="A1:G1"/>
    <mergeCell ref="A17:G17"/>
    <mergeCell ref="A9:G9"/>
  </mergeCells>
  <conditionalFormatting sqref="E33">
    <cfRule type="cellIs" priority="1" operator="equal" dxfId="0">
      <formula>"待核对"</formula>
    </cfRule>
  </conditionalFormatting>
  <dataValidations count="3">
    <dataValidation sqref="D12" showDropDown="0" showInputMessage="0" showErrorMessage="0" allowBlank="1" type="list">
      <formula1>"是,否"</formula1>
    </dataValidation>
    <dataValidation sqref="G39:G58 G64:G83 K89:M108" showDropDown="0" showInputMessage="0" showErrorMessage="0" allowBlank="1" type="list">
      <formula1>"是,否,不适用"</formula1>
    </dataValidation>
    <dataValidation sqref="D12" showDropDown="0" showInputMessage="0" showErrorMessage="0" allowBlank="1" type="list">
      <formula1>"是,否"</formula1>
    </dataValidation>
  </dataValidations>
  <pageMargins left="0.35" right="0.35" top="0.5" bottom="0.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A09363"/>
    <outlinePr summaryBelow="1" summaryRight="1"/>
    <pageSetUpPr fitToPage="1"/>
  </sheetPr>
  <dimension ref="A1:P62"/>
  <sheetViews>
    <sheetView showGridLines="0" zoomScale="70" workbookViewId="0">
      <pane ySplit="11" topLeftCell="A12" activePane="bottomLeft" state="frozen"/>
      <selection pane="bottomLeft" activeCell="A1" sqref="A1"/>
    </sheetView>
  </sheetViews>
  <sheetFormatPr baseColWidth="8" defaultRowHeight="13.8"/>
  <cols>
    <col width="12" customWidth="1" style="30" min="1" max="1"/>
    <col width="22" customWidth="1" style="30" min="2" max="5"/>
    <col width="18" customWidth="1" style="30" min="3" max="3"/>
    <col width="20" customWidth="1" style="30" min="4" max="4"/>
    <col width="16" customWidth="1" style="30" min="5" max="5"/>
    <col width="18" customWidth="1" style="30" min="6" max="6"/>
    <col width="10" customWidth="1" style="30" min="7" max="7"/>
    <col width="15" customWidth="1" style="30" min="8" max="8"/>
    <col width="18" customWidth="1" style="30" min="9" max="9"/>
    <col width="20" customWidth="1" style="30" min="10" max="11"/>
    <col width="14" customWidth="1" style="30" min="11" max="11"/>
    <col width="15" customWidth="1" style="30" min="12" max="13"/>
    <col width="22" customWidth="1" style="30" min="13" max="13"/>
    <col width="18" customWidth="1" style="30" min="14" max="15"/>
    <col width="22" customWidth="1" style="30" min="15" max="15"/>
    <col width="12" customWidth="1" style="30" min="16" max="16"/>
  </cols>
  <sheetData>
    <row r="1" ht="22" customHeight="1" s="30">
      <c r="A1" s="37" t="inlineStr">
        <is>
          <t>截止性测试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</row>
    <row r="2" ht="22" customHeight="1" s="30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</row>
    <row r="3" ht="22" customHeight="1" s="30">
      <c r="A3" s="39" t="inlineStr">
        <is>
          <t>测试阈值</t>
        </is>
      </c>
      <c r="B3" s="40">
        <f>IF(COUNT(货币资金主表!D15:D16)=0,"",MIN(货币资金主表!D15:D16))</f>
        <v/>
      </c>
      <c r="C3" s="39" t="inlineStr">
        <is>
          <t>用于识别和测试银行间转账</t>
        </is>
      </c>
      <c r="D3" s="39" t="inlineStr"/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inlineStr"/>
      <c r="P3" s="39" t="inlineStr"/>
    </row>
    <row r="4" ht="22" customHeight="1" s="30">
      <c r="A4" s="39" t="inlineStr">
        <is>
          <t>截止期间</t>
        </is>
      </c>
      <c r="B4" s="44" t="inlineStr"/>
      <c r="C4" s="39" t="inlineStr">
        <is>
          <t>例如期末日前后 1 个工作日；可按风险评估延长</t>
        </is>
      </c>
      <c r="D4" s="39" t="inlineStr"/>
      <c r="E4" s="39" t="inlineStr"/>
      <c r="F4" s="39" t="inlineStr"/>
      <c r="G4" s="39" t="inlineStr"/>
      <c r="H4" s="39" t="inlineStr"/>
      <c r="I4" s="39" t="inlineStr"/>
      <c r="J4" s="39" t="inlineStr"/>
      <c r="K4" s="39" t="inlineStr"/>
      <c r="L4" s="39" t="inlineStr"/>
      <c r="M4" s="39" t="inlineStr"/>
      <c r="N4" s="39" t="inlineStr"/>
      <c r="O4" s="39" t="inlineStr"/>
      <c r="P4" s="39" t="inlineStr"/>
    </row>
    <row r="5" ht="22" customHeight="1" s="30">
      <c r="A5" s="39" t="inlineStr">
        <is>
          <t>使用的截止期间（工作日）</t>
        </is>
      </c>
      <c r="B5" s="44" t="inlineStr"/>
      <c r="C5" s="39" t="inlineStr"/>
      <c r="D5" s="39" t="inlineStr"/>
      <c r="E5" s="39" t="inlineStr"/>
      <c r="F5" s="39" t="inlineStr"/>
      <c r="G5" s="39" t="inlineStr"/>
      <c r="H5" s="39" t="inlineStr"/>
      <c r="I5" s="39" t="inlineStr"/>
      <c r="J5" s="39" t="inlineStr"/>
      <c r="K5" s="39" t="inlineStr"/>
      <c r="L5" s="39" t="inlineStr"/>
      <c r="M5" s="39" t="inlineStr"/>
      <c r="N5" s="39" t="inlineStr"/>
      <c r="O5" s="39" t="inlineStr"/>
      <c r="P5" s="39" t="inlineStr"/>
    </row>
    <row r="6" ht="22" customHeight="1" s="30">
      <c r="A6" s="39" t="inlineStr">
        <is>
          <t>选取理由</t>
        </is>
      </c>
      <c r="B6" s="44" t="inlineStr"/>
      <c r="C6" s="39" t="inlineStr"/>
      <c r="D6" s="39" t="inlineStr"/>
      <c r="E6" s="39" t="inlineStr"/>
      <c r="F6" s="39" t="inlineStr"/>
      <c r="G6" s="39" t="inlineStr"/>
      <c r="H6" s="39" t="inlineStr"/>
      <c r="I6" s="39" t="inlineStr"/>
      <c r="J6" s="39" t="inlineStr"/>
      <c r="K6" s="39" t="inlineStr"/>
      <c r="L6" s="39" t="inlineStr"/>
      <c r="M6" s="39" t="inlineStr"/>
      <c r="N6" s="39" t="inlineStr"/>
      <c r="O6" s="39" t="inlineStr"/>
      <c r="P6" s="39" t="inlineStr"/>
    </row>
    <row r="7" ht="22" customHeight="1" s="30">
      <c r="A7" s="39" t="inlineStr">
        <is>
          <t>结论</t>
        </is>
      </c>
      <c r="B7" s="44" t="inlineStr"/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</row>
    <row r="8" ht="22" customHeight="1" s="30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</row>
    <row r="9" ht="22" customHeight="1" s="30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</row>
    <row r="10" ht="22" customHeight="1" s="3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</row>
    <row r="11" ht="22" customHeight="1" s="30">
      <c r="A11" s="41" t="inlineStr">
        <is>
          <t>期末前银行间转账</t>
        </is>
      </c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</row>
    <row r="12" ht="22" customHeight="1" s="30">
      <c r="A12" s="42" t="inlineStr">
        <is>
          <t>样本编号</t>
        </is>
      </c>
      <c r="B12" s="42" t="inlineStr">
        <is>
          <t>付款/收款主体</t>
        </is>
      </c>
      <c r="C12" s="42" t="inlineStr">
        <is>
          <t>转出银行</t>
        </is>
      </c>
      <c r="D12" s="42" t="inlineStr">
        <is>
          <t>转出账号</t>
        </is>
      </c>
      <c r="E12" s="42" t="inlineStr">
        <is>
          <t>付款/收款时间</t>
        </is>
      </c>
      <c r="F12" s="42" t="inlineStr">
        <is>
          <t>交易编号</t>
        </is>
      </c>
      <c r="G12" s="42" t="inlineStr">
        <is>
          <t>币种</t>
        </is>
      </c>
      <c r="H12" s="42" t="inlineStr">
        <is>
          <t>转出金额</t>
        </is>
      </c>
      <c r="I12" s="42" t="inlineStr">
        <is>
          <t>转入银行</t>
        </is>
      </c>
      <c r="J12" s="42" t="inlineStr">
        <is>
          <t>转入账号</t>
        </is>
      </c>
      <c r="K12" s="42" t="inlineStr">
        <is>
          <t>入账日期</t>
        </is>
      </c>
      <c r="L12" s="42" t="inlineStr">
        <is>
          <t>转入金额</t>
        </is>
      </c>
      <c r="M12" s="42" t="inlineStr">
        <is>
          <t>跨期是否体现在余额调节表</t>
        </is>
      </c>
      <c r="N12" s="42" t="inlineStr">
        <is>
          <t>会计处理是否恰当</t>
        </is>
      </c>
      <c r="O12" s="42" t="inlineStr">
        <is>
          <t>备注</t>
        </is>
      </c>
      <c r="P12" s="42" t="inlineStr">
        <is>
          <t>核对</t>
        </is>
      </c>
    </row>
    <row r="13" ht="22" customHeight="1" s="30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0">
        <f>IF(OR(H13&lt;&gt;"",L13&lt;&gt;""),H13+L13,"")</f>
        <v/>
      </c>
    </row>
    <row r="14" ht="22" customHeight="1" s="30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0">
        <f>IF(OR(H14&lt;&gt;"",L14&lt;&gt;""),H14+L14,"")</f>
        <v/>
      </c>
    </row>
    <row r="15" ht="22" customHeight="1" s="30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0">
        <f>IF(OR(H15&lt;&gt;"",L15&lt;&gt;""),H15+L15,"")</f>
        <v/>
      </c>
    </row>
    <row r="16" ht="22" customHeight="1" s="30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0">
        <f>IF(OR(H16&lt;&gt;"",L16&lt;&gt;""),H16+L16,"")</f>
        <v/>
      </c>
    </row>
    <row r="17" ht="22" customHeight="1" s="30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0">
        <f>IF(OR(H17&lt;&gt;"",L17&lt;&gt;""),H17+L17,"")</f>
        <v/>
      </c>
    </row>
    <row r="18" ht="22" customHeight="1" s="30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0">
        <f>IF(OR(H18&lt;&gt;"",L18&lt;&gt;""),H18+L18,"")</f>
        <v/>
      </c>
    </row>
    <row r="19" ht="22" customHeight="1" s="30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0">
        <f>IF(OR(H19&lt;&gt;"",L19&lt;&gt;""),H19+L19,"")</f>
        <v/>
      </c>
    </row>
    <row r="20" ht="22" customHeight="1" s="3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0">
        <f>IF(OR(H20&lt;&gt;"",L20&lt;&gt;""),H20+L20,"")</f>
        <v/>
      </c>
    </row>
    <row r="21" ht="22" customHeight="1" s="30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0">
        <f>IF(OR(H21&lt;&gt;"",L21&lt;&gt;""),H21+L21,"")</f>
        <v/>
      </c>
    </row>
    <row r="22" ht="22" customHeight="1" s="30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0">
        <f>IF(OR(H22&lt;&gt;"",L22&lt;&gt;""),H22+L22,"")</f>
        <v/>
      </c>
    </row>
    <row r="23" ht="22" customHeight="1" s="30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0">
        <f>IF(OR(H23&lt;&gt;"",L23&lt;&gt;""),H23+L23,"")</f>
        <v/>
      </c>
    </row>
    <row r="24" ht="22" customHeight="1" s="30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0">
        <f>IF(OR(H24&lt;&gt;"",L24&lt;&gt;""),H24+L24,"")</f>
        <v/>
      </c>
    </row>
    <row r="25" ht="22" customHeight="1" s="30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0">
        <f>IF(OR(H25&lt;&gt;"",L25&lt;&gt;""),H25+L25,"")</f>
        <v/>
      </c>
    </row>
    <row r="26" ht="22" customHeight="1" s="30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0">
        <f>IF(OR(H26&lt;&gt;"",L26&lt;&gt;""),H26+L26,"")</f>
        <v/>
      </c>
    </row>
    <row r="27" ht="22" customHeight="1" s="30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0">
        <f>IF(OR(H27&lt;&gt;"",L27&lt;&gt;""),H27+L27,"")</f>
        <v/>
      </c>
    </row>
    <row r="28" ht="22" customHeight="1" s="30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0">
        <f>IF(OR(H28&lt;&gt;"",L28&lt;&gt;""),H28+L28,"")</f>
        <v/>
      </c>
    </row>
    <row r="29" ht="22" customHeight="1" s="30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0">
        <f>IF(OR(H29&lt;&gt;"",L29&lt;&gt;""),H29+L29,"")</f>
        <v/>
      </c>
    </row>
    <row r="30" ht="22" customHeight="1" s="30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0">
        <f>IF(OR(H30&lt;&gt;"",L30&lt;&gt;""),H30+L30,"")</f>
        <v/>
      </c>
    </row>
    <row r="31" ht="22" customHeight="1" s="30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0">
        <f>IF(OR(H31&lt;&gt;"",L31&lt;&gt;""),H31+L31,"")</f>
        <v/>
      </c>
    </row>
    <row r="32" ht="22" customHeight="1" s="30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0">
        <f>IF(OR(H32&lt;&gt;"",L32&lt;&gt;""),H32+L32,"")</f>
        <v/>
      </c>
    </row>
    <row r="33" ht="22" customHeight="1" s="30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</row>
    <row r="34" ht="22" customHeight="1" s="30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</row>
    <row r="35" ht="22" customHeight="1" s="30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</row>
    <row r="36" ht="22" customHeight="1" s="30">
      <c r="A36" s="41" t="inlineStr">
        <is>
          <t>期末后银行间转账</t>
        </is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</row>
    <row r="37" ht="22" customHeight="1" s="30">
      <c r="A37" s="42" t="inlineStr">
        <is>
          <t>样本编号</t>
        </is>
      </c>
      <c r="B37" s="42" t="inlineStr">
        <is>
          <t>付款/收款主体</t>
        </is>
      </c>
      <c r="C37" s="42" t="inlineStr">
        <is>
          <t>转出银行</t>
        </is>
      </c>
      <c r="D37" s="42" t="inlineStr">
        <is>
          <t>转出账号</t>
        </is>
      </c>
      <c r="E37" s="42" t="inlineStr">
        <is>
          <t>付款/收款时间</t>
        </is>
      </c>
      <c r="F37" s="42" t="inlineStr">
        <is>
          <t>交易编号</t>
        </is>
      </c>
      <c r="G37" s="42" t="inlineStr">
        <is>
          <t>币种</t>
        </is>
      </c>
      <c r="H37" s="42" t="inlineStr">
        <is>
          <t>转出金额</t>
        </is>
      </c>
      <c r="I37" s="42" t="inlineStr">
        <is>
          <t>转入银行</t>
        </is>
      </c>
      <c r="J37" s="42" t="inlineStr">
        <is>
          <t>转入账号</t>
        </is>
      </c>
      <c r="K37" s="42" t="inlineStr">
        <is>
          <t>入账日期</t>
        </is>
      </c>
      <c r="L37" s="42" t="inlineStr">
        <is>
          <t>转入金额</t>
        </is>
      </c>
      <c r="M37" s="42" t="inlineStr">
        <is>
          <t>跨期是否体现在余额调节表</t>
        </is>
      </c>
      <c r="N37" s="42" t="inlineStr">
        <is>
          <t>会计处理是否恰当</t>
        </is>
      </c>
      <c r="O37" s="42" t="inlineStr">
        <is>
          <t>备注</t>
        </is>
      </c>
      <c r="P37" s="42" t="inlineStr">
        <is>
          <t>核对</t>
        </is>
      </c>
    </row>
    <row r="38" ht="22" customHeight="1" s="30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0">
        <f>IF(OR(H38&lt;&gt;"",L38&lt;&gt;""),H38+L38,"")</f>
        <v/>
      </c>
    </row>
    <row r="39" ht="22" customHeight="1" s="30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0">
        <f>IF(OR(H39&lt;&gt;"",L39&lt;&gt;""),H39+L39,"")</f>
        <v/>
      </c>
    </row>
    <row r="40" ht="22" customHeight="1" s="3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0">
        <f>IF(OR(H40&lt;&gt;"",L40&lt;&gt;""),H40+L40,"")</f>
        <v/>
      </c>
    </row>
    <row r="41" ht="22" customHeight="1" s="30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0">
        <f>IF(OR(H41&lt;&gt;"",L41&lt;&gt;""),H41+L41,"")</f>
        <v/>
      </c>
    </row>
    <row r="42" ht="22" customHeight="1" s="30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0">
        <f>IF(OR(H42&lt;&gt;"",L42&lt;&gt;""),H42+L42,"")</f>
        <v/>
      </c>
    </row>
    <row r="43" ht="22" customHeight="1" s="30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0">
        <f>IF(OR(H43&lt;&gt;"",L43&lt;&gt;""),H43+L43,"")</f>
        <v/>
      </c>
    </row>
    <row r="44" ht="22" customHeight="1" s="30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0">
        <f>IF(OR(H44&lt;&gt;"",L44&lt;&gt;""),H44+L44,"")</f>
        <v/>
      </c>
    </row>
    <row r="45" ht="22" customHeight="1" s="30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0">
        <f>IF(OR(H45&lt;&gt;"",L45&lt;&gt;""),H45+L45,"")</f>
        <v/>
      </c>
    </row>
    <row r="46" ht="22" customHeight="1" s="30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0">
        <f>IF(OR(H46&lt;&gt;"",L46&lt;&gt;""),H46+L46,"")</f>
        <v/>
      </c>
    </row>
    <row r="47" ht="22" customHeight="1" s="30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0">
        <f>IF(OR(H47&lt;&gt;"",L47&lt;&gt;""),H47+L47,"")</f>
        <v/>
      </c>
    </row>
    <row r="48" ht="22" customHeight="1" s="30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0">
        <f>IF(OR(H48&lt;&gt;"",L48&lt;&gt;""),H48+L48,"")</f>
        <v/>
      </c>
    </row>
    <row r="49" ht="22" customHeight="1" s="30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0">
        <f>IF(OR(H49&lt;&gt;"",L49&lt;&gt;""),H49+L49,"")</f>
        <v/>
      </c>
    </row>
    <row r="50" ht="22" customHeight="1" s="3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0">
        <f>IF(OR(H50&lt;&gt;"",L50&lt;&gt;""),H50+L50,"")</f>
        <v/>
      </c>
    </row>
    <row r="51" ht="22" customHeight="1" s="30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0">
        <f>IF(OR(H51&lt;&gt;"",L51&lt;&gt;""),H51+L51,"")</f>
        <v/>
      </c>
    </row>
    <row r="52" ht="22" customHeight="1" s="30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0">
        <f>IF(OR(H52&lt;&gt;"",L52&lt;&gt;""),H52+L52,"")</f>
        <v/>
      </c>
    </row>
    <row r="53" ht="22" customHeight="1" s="30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0">
        <f>IF(OR(H53&lt;&gt;"",L53&lt;&gt;""),H53+L53,"")</f>
        <v/>
      </c>
    </row>
    <row r="54" ht="22" customHeight="1" s="30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0">
        <f>IF(OR(H54&lt;&gt;"",L54&lt;&gt;""),H54+L54,"")</f>
        <v/>
      </c>
    </row>
    <row r="55" ht="22" customHeight="1" s="30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0">
        <f>IF(OR(H55&lt;&gt;"",L55&lt;&gt;""),H55+L55,"")</f>
        <v/>
      </c>
    </row>
    <row r="56" ht="22" customHeight="1" s="30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0">
        <f>IF(OR(H56&lt;&gt;"",L56&lt;&gt;""),H56+L56,"")</f>
        <v/>
      </c>
    </row>
    <row r="57" ht="22" customHeight="1" s="30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0">
        <f>IF(OR(H57&lt;&gt;"",L57&lt;&gt;""),H57+L57,"")</f>
        <v/>
      </c>
    </row>
    <row r="58" ht="22" customHeight="1" s="30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40" t="n"/>
    </row>
    <row r="59" ht="22" customHeight="1" s="30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40" t="n"/>
    </row>
    <row r="60" ht="22" customHeight="1" s="30">
      <c r="A60" s="39" t="inlineStr">
        <is>
          <t>核对汇总</t>
        </is>
      </c>
      <c r="B60" s="39" t="inlineStr"/>
      <c r="C60" s="39" t="inlineStr"/>
      <c r="D60" s="39" t="inlineStr"/>
      <c r="E60" s="39" t="inlineStr"/>
      <c r="F60" s="39" t="inlineStr"/>
      <c r="G60" s="39" t="inlineStr"/>
      <c r="H60" s="39" t="inlineStr"/>
      <c r="I60" s="39" t="inlineStr"/>
      <c r="J60" s="39" t="inlineStr"/>
      <c r="K60" s="39" t="inlineStr"/>
      <c r="L60" s="39" t="inlineStr"/>
      <c r="M60" s="39" t="inlineStr"/>
      <c r="N60" s="39" t="inlineStr"/>
      <c r="O60" s="39" t="inlineStr">
        <is>
          <t>异常样本数</t>
        </is>
      </c>
      <c r="P60" s="40">
        <f>COUNTIF(P13:P57,"&lt;&gt;0")</f>
        <v/>
      </c>
    </row>
    <row r="61" ht="22" customHeight="1" s="30">
      <c r="A61" s="39" t="inlineStr">
        <is>
          <t>核对状态</t>
        </is>
      </c>
      <c r="B61" s="39" t="inlineStr"/>
      <c r="C61" s="39" t="inlineStr"/>
      <c r="D61" s="39" t="inlineStr"/>
      <c r="E61" s="39" t="inlineStr"/>
      <c r="F61" s="39" t="inlineStr"/>
      <c r="G61" s="39" t="inlineStr"/>
      <c r="H61" s="39" t="inlineStr"/>
      <c r="I61" s="39" t="inlineStr"/>
      <c r="J61" s="39" t="inlineStr"/>
      <c r="K61" s="39" t="inlineStr"/>
      <c r="L61" s="39" t="inlineStr"/>
      <c r="M61" s="39" t="inlineStr"/>
      <c r="N61" s="39" t="inlineStr"/>
      <c r="O61" s="39" t="inlineStr"/>
      <c r="P61" s="43">
        <f>IF(P60=0,"通过","关注")</f>
        <v/>
      </c>
    </row>
    <row r="62" ht="22" customHeight="1" s="30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</row>
    <row r="63" ht="18" customHeight="1" s="30"/>
    <row r="64" ht="18" customHeight="1" s="30"/>
  </sheetData>
  <mergeCells count="3">
    <mergeCell ref="A11:P11"/>
    <mergeCell ref="A1:P1"/>
    <mergeCell ref="A36:P36"/>
  </mergeCells>
  <conditionalFormatting sqref="P61">
    <cfRule type="cellIs" priority="1" operator="equal" dxfId="0">
      <formula>"待核对"</formula>
    </cfRule>
  </conditionalFormatting>
  <dataValidations count="3">
    <dataValidation sqref="M13:N32 M38:N57" showDropDown="0" showInputMessage="0" showErrorMessage="0" allowBlank="1" type="list">
      <formula1>"是,否,不适用"</formula1>
    </dataValidation>
    <dataValidation sqref="G13:G57" showDropDown="0" showInputMessage="0" showErrorMessage="0" allowBlank="1" type="list">
      <formula1>"CNY,USD,EUR,HKD,JPY,GBP"</formula1>
    </dataValidation>
    <dataValidation sqref="M13:N57" showDropDown="0" showInputMessage="0" showErrorMessage="0" allowBlank="1" type="list">
      <formula1>"是,否,不适用"</formula1>
    </dataValidation>
  </dataValidations>
  <pageMargins left="0.35" right="0.35" top="0.5" bottom="0.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 Cash and Bank Audit Workpaper - Optimized Core</dc:title>
  <dc:description xmlns:dc="http://purl.org/dc/elements/1.1/">Optimized five-sheet cash and bank audit workpaper template under CN CAS.</dc:description>
  <dc:subject xmlns:dc="http://purl.org/dc/elements/1.1/">Brand-neutral clean cash and bank audit workpaper template</dc:subject>
  <dcterms:created xmlns:dcterms="http://purl.org/dc/terms/" xmlns:xsi="http://www.w3.org/2001/XMLSchema-instance" xsi:type="dcterms:W3CDTF">2026-05-11T18:56:00Z</dcterms:created>
  <dcterms:modified xmlns:dcterms="http://purl.org/dc/terms/" xmlns:xsi="http://www.w3.org/2001/XMLSchema-instance" xsi:type="dcterms:W3CDTF">2026-05-11T23:18:40Z</dcterms:modified>
  <cp:lastModifiedBy/>
  <cp:keywords>cash bank audit workpaper clean core optimized</cp:keywords>
</cp:coreProperties>
</file>